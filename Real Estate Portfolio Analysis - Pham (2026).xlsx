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xr:revisionPtr revIDLastSave="0" documentId="8_{DDF4796D-E1F1-443C-B6C4-177899EE41EF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Dashboard" sheetId="1" r:id="rId1"/>
    <sheet name="Actuals" sheetId="5" r:id="rId2"/>
    <sheet name="Inputs" sheetId="2" r:id="rId3"/>
    <sheet name="Rent Collections" sheetId="4" r:id="rId4"/>
    <sheet name="Expenses" sheetId="3" r:id="rId5"/>
    <sheet name="Expense Analysis" sheetId="6" r:id="rId6"/>
  </sheets>
  <definedNames>
    <definedName name="CategoryList">Inputs!$S$2:$S$9</definedName>
    <definedName name="PropertyList">Inputs!$A$3:$A$16</definedName>
  </definedNames>
  <calcPr calcId="191028"/>
  <pivotCaches>
    <pivotCache cacheId="387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1" i="4" l="1"/>
  <c r="C2" i="5"/>
  <c r="C3" i="5"/>
  <c r="C4" i="5"/>
  <c r="C13" i="5"/>
  <c r="C14" i="5"/>
  <c r="F2" i="5"/>
  <c r="F3" i="5"/>
  <c r="F4" i="5"/>
  <c r="F13" i="5"/>
  <c r="F14" i="5"/>
  <c r="B3" i="1"/>
  <c r="H2" i="3"/>
  <c r="I2" i="3"/>
  <c r="H19" i="3"/>
  <c r="I19" i="3"/>
  <c r="H18" i="3"/>
  <c r="I18" i="3"/>
  <c r="H6" i="3"/>
  <c r="I6" i="3"/>
  <c r="H14" i="3"/>
  <c r="I14" i="3"/>
  <c r="H16" i="2"/>
  <c r="I16" i="2"/>
  <c r="J16" i="2"/>
  <c r="K16" i="2"/>
  <c r="L16" i="2"/>
  <c r="M16" i="2"/>
  <c r="N16" i="2"/>
  <c r="O16" i="2"/>
  <c r="H3" i="3"/>
  <c r="I3" i="3"/>
  <c r="H17" i="3"/>
  <c r="I17" i="3"/>
  <c r="H16" i="3"/>
  <c r="I16" i="3"/>
  <c r="H15" i="3"/>
  <c r="I15" i="3"/>
  <c r="H13" i="3"/>
  <c r="I13" i="3"/>
  <c r="H12" i="3"/>
  <c r="I12" i="3"/>
  <c r="H11" i="3"/>
  <c r="I11" i="3"/>
  <c r="H10" i="3"/>
  <c r="I10" i="3"/>
  <c r="H9" i="3"/>
  <c r="I9" i="3"/>
  <c r="H8" i="3"/>
  <c r="I8" i="3"/>
  <c r="G67" i="4"/>
  <c r="I67" i="4" s="1"/>
  <c r="G66" i="4"/>
  <c r="I66" i="4" s="1"/>
  <c r="G65" i="4"/>
  <c r="I65" i="4" s="1"/>
  <c r="G64" i="4"/>
  <c r="I64" i="4" s="1"/>
  <c r="G63" i="4"/>
  <c r="I63" i="4" s="1"/>
  <c r="G62" i="4"/>
  <c r="I62" i="4" s="1"/>
  <c r="I61" i="4"/>
  <c r="G60" i="4"/>
  <c r="I60" i="4" s="1"/>
  <c r="G59" i="4"/>
  <c r="I59" i="4" s="1"/>
  <c r="G58" i="4"/>
  <c r="I58" i="4" s="1"/>
  <c r="G57" i="4"/>
  <c r="I57" i="4" s="1"/>
  <c r="G56" i="4"/>
  <c r="I56" i="4" s="1"/>
  <c r="G51" i="4"/>
  <c r="I51" i="4" s="1"/>
  <c r="G50" i="4"/>
  <c r="I50" i="4" s="1"/>
  <c r="G55" i="4"/>
  <c r="I55" i="4" s="1"/>
  <c r="G49" i="4"/>
  <c r="I49" i="4" s="1"/>
  <c r="G48" i="4"/>
  <c r="I48" i="4" s="1"/>
  <c r="G52" i="4"/>
  <c r="I52" i="4" s="1"/>
  <c r="G54" i="4"/>
  <c r="I54" i="4" s="1"/>
  <c r="G47" i="4"/>
  <c r="I47" i="4" s="1"/>
  <c r="G53" i="4"/>
  <c r="I53" i="4" s="1"/>
  <c r="G46" i="4"/>
  <c r="I46" i="4" s="1"/>
  <c r="G44" i="4"/>
  <c r="I44" i="4" s="1"/>
  <c r="G40" i="4"/>
  <c r="I40" i="4" s="1"/>
  <c r="G39" i="4"/>
  <c r="I39" i="4" s="1"/>
  <c r="G43" i="4"/>
  <c r="I43" i="4" s="1"/>
  <c r="G42" i="4"/>
  <c r="I42" i="4" s="1"/>
  <c r="G38" i="4"/>
  <c r="I38" i="4" s="1"/>
  <c r="G45" i="4"/>
  <c r="I45" i="4" s="1"/>
  <c r="G37" i="4"/>
  <c r="I37" i="4" s="1"/>
  <c r="G36" i="4"/>
  <c r="I36" i="4" s="1"/>
  <c r="G41" i="4"/>
  <c r="I41" i="4" s="1"/>
  <c r="G35" i="4"/>
  <c r="I35" i="4" s="1"/>
  <c r="G27" i="4"/>
  <c r="I27" i="4" s="1"/>
  <c r="G29" i="4"/>
  <c r="I29" i="4" s="1"/>
  <c r="G26" i="4"/>
  <c r="I26" i="4" s="1"/>
  <c r="G28" i="4"/>
  <c r="I28" i="4" s="1"/>
  <c r="G33" i="4"/>
  <c r="I33" i="4" s="1"/>
  <c r="G34" i="4"/>
  <c r="I34" i="4" s="1"/>
  <c r="G32" i="4"/>
  <c r="I32" i="4" s="1"/>
  <c r="G30" i="4"/>
  <c r="I30" i="4" s="1"/>
  <c r="G25" i="4"/>
  <c r="I25" i="4" s="1"/>
  <c r="G31" i="4"/>
  <c r="I31" i="4" s="1"/>
  <c r="G24" i="4"/>
  <c r="I24" i="4" s="1"/>
  <c r="G19" i="4"/>
  <c r="I19" i="4" s="1"/>
  <c r="G20" i="4"/>
  <c r="I20" i="4" s="1"/>
  <c r="G18" i="4"/>
  <c r="I18" i="4" s="1"/>
  <c r="G17" i="4"/>
  <c r="I17" i="4" s="1"/>
  <c r="G23" i="4"/>
  <c r="I23" i="4" s="1"/>
  <c r="G16" i="4"/>
  <c r="I16" i="4" s="1"/>
  <c r="G15" i="4"/>
  <c r="I15" i="4" s="1"/>
  <c r="G22" i="4"/>
  <c r="I22" i="4" s="1"/>
  <c r="G14" i="4"/>
  <c r="I14" i="4" s="1"/>
  <c r="G21" i="4"/>
  <c r="I21" i="4" s="1"/>
  <c r="G13" i="4"/>
  <c r="I13" i="4" s="1"/>
  <c r="G12" i="4"/>
  <c r="G4" i="4"/>
  <c r="G6" i="4"/>
  <c r="G7" i="4"/>
  <c r="G8" i="4"/>
  <c r="G11" i="4"/>
  <c r="G9" i="4"/>
  <c r="I12" i="4"/>
  <c r="I4" i="4"/>
  <c r="I6" i="4"/>
  <c r="I7" i="4"/>
  <c r="I8" i="4"/>
  <c r="I11" i="4"/>
  <c r="I9" i="4"/>
  <c r="H7" i="3"/>
  <c r="H5" i="3"/>
  <c r="H4" i="3"/>
  <c r="I5" i="3"/>
  <c r="I7" i="3"/>
  <c r="I4" i="3"/>
  <c r="B4" i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O3" i="2"/>
  <c r="O4" i="2"/>
  <c r="O5" i="2"/>
  <c r="O6" i="2"/>
  <c r="O7" i="2"/>
  <c r="O8" i="2"/>
  <c r="O9" i="2"/>
  <c r="O10" i="2"/>
  <c r="O11" i="2"/>
  <c r="O12" i="2"/>
  <c r="O13" i="2"/>
  <c r="O14" i="2"/>
  <c r="O1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G10" i="4"/>
  <c r="I10" i="4"/>
  <c r="G3" i="4"/>
  <c r="I3" i="4"/>
  <c r="G5" i="4"/>
  <c r="I5" i="4"/>
  <c r="A3" i="5"/>
  <c r="A4" i="5"/>
  <c r="A5" i="5"/>
  <c r="A6" i="5"/>
  <c r="A7" i="5"/>
  <c r="A8" i="5"/>
  <c r="A9" i="5"/>
  <c r="A10" i="5"/>
  <c r="A11" i="5"/>
  <c r="A12" i="5"/>
  <c r="A13" i="5"/>
  <c r="A14" i="5"/>
  <c r="A2" i="5"/>
  <c r="H3" i="2"/>
  <c r="E2" i="5" s="1"/>
  <c r="H4" i="2"/>
  <c r="E3" i="5" s="1"/>
  <c r="H5" i="2"/>
  <c r="E4" i="5" s="1"/>
  <c r="H6" i="2"/>
  <c r="E5" i="5" s="1"/>
  <c r="H7" i="2"/>
  <c r="E6" i="5" s="1"/>
  <c r="H8" i="2"/>
  <c r="E7" i="5" s="1"/>
  <c r="H9" i="2"/>
  <c r="E8" i="5" s="1"/>
  <c r="H10" i="2"/>
  <c r="E9" i="5" s="1"/>
  <c r="H11" i="2"/>
  <c r="E10" i="5" s="1"/>
  <c r="H12" i="2"/>
  <c r="E11" i="5" s="1"/>
  <c r="H13" i="2"/>
  <c r="E12" i="5" s="1"/>
  <c r="H14" i="2"/>
  <c r="E13" i="5" s="1"/>
  <c r="H15" i="2"/>
  <c r="E14" i="5" s="1"/>
  <c r="G2" i="4"/>
  <c r="I2" i="4" s="1"/>
  <c r="V5" i="1"/>
  <c r="V6" i="1"/>
  <c r="V7" i="1"/>
  <c r="V8" i="1"/>
  <c r="V9" i="1"/>
  <c r="V10" i="1"/>
  <c r="V11" i="1"/>
  <c r="V12" i="1"/>
  <c r="V13" i="1"/>
  <c r="V14" i="1"/>
  <c r="V15" i="1"/>
  <c r="V16" i="1"/>
  <c r="V4" i="1"/>
  <c r="X5" i="1"/>
  <c r="X6" i="1"/>
  <c r="X7" i="1"/>
  <c r="X8" i="1"/>
  <c r="X9" i="1"/>
  <c r="X10" i="1"/>
  <c r="X11" i="1"/>
  <c r="X12" i="1"/>
  <c r="X13" i="1"/>
  <c r="X14" i="1"/>
  <c r="X15" i="1"/>
  <c r="X16" i="1"/>
  <c r="C12" i="5" l="1"/>
  <c r="F12" i="5"/>
  <c r="C11" i="5"/>
  <c r="F11" i="5"/>
  <c r="C10" i="5"/>
  <c r="F10" i="5"/>
  <c r="C9" i="5"/>
  <c r="F9" i="5"/>
  <c r="C8" i="5"/>
  <c r="F8" i="5"/>
  <c r="C7" i="5"/>
  <c r="F7" i="5"/>
  <c r="C6" i="5"/>
  <c r="F6" i="5"/>
  <c r="C5" i="5"/>
  <c r="F5" i="5"/>
  <c r="G2" i="5"/>
  <c r="Z4" i="1"/>
  <c r="G14" i="5"/>
  <c r="Z16" i="1"/>
  <c r="G13" i="5"/>
  <c r="Z15" i="1"/>
  <c r="G12" i="5"/>
  <c r="Z14" i="1"/>
  <c r="G11" i="5"/>
  <c r="Z13" i="1"/>
  <c r="G10" i="5"/>
  <c r="Z12" i="1"/>
  <c r="G9" i="5"/>
  <c r="Z11" i="1"/>
  <c r="D8" i="5"/>
  <c r="Z10" i="1"/>
  <c r="G7" i="5"/>
  <c r="G6" i="5"/>
  <c r="Z8" i="1"/>
  <c r="G5" i="5"/>
  <c r="Z7" i="1"/>
  <c r="G4" i="5"/>
  <c r="Z6" i="1"/>
  <c r="G3" i="5"/>
  <c r="Z5" i="1"/>
  <c r="K15" i="2"/>
  <c r="K14" i="2"/>
  <c r="K13" i="2"/>
  <c r="K12" i="2"/>
  <c r="K11" i="2"/>
  <c r="K10" i="2"/>
  <c r="K9" i="2"/>
  <c r="K8" i="2"/>
  <c r="K7" i="2"/>
  <c r="K6" i="2"/>
  <c r="K5" i="2"/>
  <c r="K4" i="2"/>
  <c r="B5" i="1"/>
  <c r="K3" i="2"/>
  <c r="B9" i="1"/>
  <c r="Z9" i="1"/>
  <c r="X4" i="1"/>
  <c r="H2" i="5" l="1"/>
  <c r="L3" i="2"/>
  <c r="H3" i="5"/>
  <c r="AA5" i="1" s="1"/>
  <c r="L4" i="2"/>
  <c r="H4" i="5"/>
  <c r="AA6" i="1" s="1"/>
  <c r="L5" i="2"/>
  <c r="H5" i="5"/>
  <c r="AA7" i="1" s="1"/>
  <c r="L6" i="2"/>
  <c r="H6" i="5"/>
  <c r="AA8" i="1" s="1"/>
  <c r="L7" i="2"/>
  <c r="H7" i="5"/>
  <c r="AA9" i="1" s="1"/>
  <c r="L8" i="2"/>
  <c r="H8" i="5"/>
  <c r="AA10" i="1" s="1"/>
  <c r="L9" i="2"/>
  <c r="H9" i="5"/>
  <c r="AA11" i="1" s="1"/>
  <c r="L10" i="2"/>
  <c r="H10" i="5"/>
  <c r="AA12" i="1" s="1"/>
  <c r="L11" i="2"/>
  <c r="H11" i="5"/>
  <c r="AA13" i="1" s="1"/>
  <c r="L12" i="2"/>
  <c r="H12" i="5"/>
  <c r="AA14" i="1" s="1"/>
  <c r="L13" i="2"/>
  <c r="H13" i="5"/>
  <c r="AA15" i="1" s="1"/>
  <c r="L14" i="2"/>
  <c r="H14" i="5"/>
  <c r="AA16" i="1" s="1"/>
  <c r="L15" i="2"/>
  <c r="I3" i="5"/>
  <c r="J3" i="5" s="1"/>
  <c r="D3" i="5"/>
  <c r="I4" i="5"/>
  <c r="J4" i="5" s="1"/>
  <c r="D4" i="5"/>
  <c r="I5" i="5"/>
  <c r="J5" i="5" s="1"/>
  <c r="D5" i="5"/>
  <c r="I6" i="5"/>
  <c r="J6" i="5" s="1"/>
  <c r="D6" i="5"/>
  <c r="I7" i="5"/>
  <c r="J7" i="5" s="1"/>
  <c r="D7" i="5"/>
  <c r="I8" i="5"/>
  <c r="J8" i="5" s="1"/>
  <c r="G8" i="5"/>
  <c r="B14" i="1" s="1"/>
  <c r="I9" i="5"/>
  <c r="J9" i="5" s="1"/>
  <c r="D9" i="5"/>
  <c r="I10" i="5"/>
  <c r="J10" i="5" s="1"/>
  <c r="D10" i="5"/>
  <c r="I11" i="5"/>
  <c r="J11" i="5" s="1"/>
  <c r="D11" i="5"/>
  <c r="I12" i="5"/>
  <c r="J12" i="5" s="1"/>
  <c r="D12" i="5"/>
  <c r="I13" i="5"/>
  <c r="J13" i="5" s="1"/>
  <c r="D13" i="5"/>
  <c r="I14" i="5"/>
  <c r="J14" i="5" s="1"/>
  <c r="D14" i="5"/>
  <c r="I2" i="5"/>
  <c r="J2" i="5" s="1"/>
  <c r="B15" i="1" s="1"/>
  <c r="D2" i="5"/>
  <c r="B13" i="1" s="1"/>
  <c r="AA4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B16" i="1" l="1"/>
  <c r="Q15" i="2"/>
  <c r="W16" i="1" s="1"/>
  <c r="N15" i="2"/>
  <c r="M15" i="2"/>
  <c r="Q14" i="2"/>
  <c r="W15" i="1" s="1"/>
  <c r="N14" i="2"/>
  <c r="M14" i="2"/>
  <c r="Q13" i="2"/>
  <c r="W14" i="1" s="1"/>
  <c r="N13" i="2"/>
  <c r="M13" i="2"/>
  <c r="Q12" i="2"/>
  <c r="W13" i="1" s="1"/>
  <c r="N12" i="2"/>
  <c r="M12" i="2"/>
  <c r="Q11" i="2"/>
  <c r="W12" i="1" s="1"/>
  <c r="N11" i="2"/>
  <c r="M11" i="2"/>
  <c r="Q10" i="2"/>
  <c r="W11" i="1" s="1"/>
  <c r="N10" i="2"/>
  <c r="M10" i="2"/>
  <c r="Q9" i="2"/>
  <c r="W10" i="1" s="1"/>
  <c r="N9" i="2"/>
  <c r="M9" i="2"/>
  <c r="Q8" i="2"/>
  <c r="W9" i="1" s="1"/>
  <c r="N8" i="2"/>
  <c r="M8" i="2"/>
  <c r="Q7" i="2"/>
  <c r="W8" i="1" s="1"/>
  <c r="N7" i="2"/>
  <c r="M7" i="2"/>
  <c r="Q6" i="2"/>
  <c r="W7" i="1" s="1"/>
  <c r="N6" i="2"/>
  <c r="M6" i="2"/>
  <c r="Q5" i="2"/>
  <c r="W6" i="1" s="1"/>
  <c r="N5" i="2"/>
  <c r="M5" i="2"/>
  <c r="Q4" i="2"/>
  <c r="W5" i="1" s="1"/>
  <c r="N4" i="2"/>
  <c r="M4" i="2"/>
  <c r="B6" i="1"/>
  <c r="Q3" i="2"/>
  <c r="B7" i="1" s="1"/>
  <c r="N3" i="2"/>
  <c r="B8" i="1" s="1"/>
  <c r="M3" i="2"/>
  <c r="W4" i="1"/>
</calcChain>
</file>

<file path=xl/sharedStrings.xml><?xml version="1.0" encoding="utf-8"?>
<sst xmlns="http://schemas.openxmlformats.org/spreadsheetml/2006/main" count="420" uniqueCount="137">
  <si>
    <t>Portfolio Dashboard</t>
  </si>
  <si>
    <t>Total properties</t>
  </si>
  <si>
    <t>Property</t>
  </si>
  <si>
    <t>Current cap rate</t>
  </si>
  <si>
    <t>Gross Yield</t>
  </si>
  <si>
    <t>Target NOI</t>
  </si>
  <si>
    <t>Actual NOI</t>
  </si>
  <si>
    <t>Total portfolio value (current)</t>
  </si>
  <si>
    <t>Total monthly income</t>
  </si>
  <si>
    <t>Total annual NOI</t>
  </si>
  <si>
    <t>Average current cap rate</t>
  </si>
  <si>
    <t>Average cash-on-cash return</t>
  </si>
  <si>
    <t>Average gross yield</t>
  </si>
  <si>
    <t>Portfolio Performance: Budget vs. Actual</t>
  </si>
  <si>
    <t>Rent variance</t>
  </si>
  <si>
    <t>Expense variance</t>
  </si>
  <si>
    <t>NOI variance</t>
  </si>
  <si>
    <t>Properties underperforming</t>
  </si>
  <si>
    <t>Variance metrics reflect 7 of 13 properties with logged 2026 data</t>
  </si>
  <si>
    <t xml:space="preserve">Data sources: Property values via Zillow estimates as of May 2026. </t>
  </si>
  <si>
    <t>Expenses are estimates where actuals unavailable.</t>
  </si>
  <si>
    <t>Target rent</t>
  </si>
  <si>
    <t>Actual rent collected</t>
  </si>
  <si>
    <t>Target expenses</t>
  </si>
  <si>
    <t>Actual expenses</t>
  </si>
  <si>
    <t>Real Estate Portfolio Analysis</t>
  </si>
  <si>
    <t>Property Address</t>
  </si>
  <si>
    <t>Purchase Price</t>
  </si>
  <si>
    <t>Down payment (%)</t>
  </si>
  <si>
    <t>Loan term (years)</t>
  </si>
  <si>
    <t>Interest rate (%)</t>
  </si>
  <si>
    <t>Monthly rent</t>
  </si>
  <si>
    <t>Vacancy rate (%)</t>
  </si>
  <si>
    <t>Monthly expenses</t>
  </si>
  <si>
    <t>Effective monthly rent</t>
  </si>
  <si>
    <t>Monthly Mortgage</t>
  </si>
  <si>
    <t>Monthly NOI</t>
  </si>
  <si>
    <t>Annual NOI</t>
  </si>
  <si>
    <t>Purchase Cap Rate</t>
  </si>
  <si>
    <t>Cash-on-cash return</t>
  </si>
  <si>
    <t>Current estimate value (Zillow)</t>
  </si>
  <si>
    <t>412 Elmwood Drive</t>
  </si>
  <si>
    <t>728 Chestnut Lane</t>
  </si>
  <si>
    <t>1053 Ridgeway Avenue</t>
  </si>
  <si>
    <t>309 Birchwood Court</t>
  </si>
  <si>
    <t>847 Sycamore Street</t>
  </si>
  <si>
    <t>215 Hollow Creek Road</t>
  </si>
  <si>
    <t>634 Pinecrest Boulevard</t>
  </si>
  <si>
    <t>491 Maplewood Circle</t>
  </si>
  <si>
    <t>1127 Cedarhill Drive</t>
  </si>
  <si>
    <t>376 Walnut Grove Lane</t>
  </si>
  <si>
    <t>823 Thornberry Street</t>
  </si>
  <si>
    <t>Mid-range Test Prop</t>
  </si>
  <si>
    <t>High-end Test Prop</t>
  </si>
  <si>
    <t>General</t>
  </si>
  <si>
    <t>White = input cells (editable) | Gray/colored = formula cells (protected)</t>
  </si>
  <si>
    <t>Input Cells</t>
  </si>
  <si>
    <t>Formula Cells</t>
  </si>
  <si>
    <t>Editable</t>
  </si>
  <si>
    <t>Protected</t>
  </si>
  <si>
    <t>Addresses/Tenants anonymized for privacy</t>
  </si>
  <si>
    <t>Date</t>
  </si>
  <si>
    <t>Tenant</t>
  </si>
  <si>
    <t>Amount due</t>
  </si>
  <si>
    <t>Amount collected</t>
  </si>
  <si>
    <t>Payment method</t>
  </si>
  <si>
    <t>Balance Remaining</t>
  </si>
  <si>
    <t>Notes</t>
  </si>
  <si>
    <t>Payment Status</t>
  </si>
  <si>
    <t>Linda</t>
  </si>
  <si>
    <t>Cash</t>
  </si>
  <si>
    <t>AC Filter Replaced</t>
  </si>
  <si>
    <t>Thomas</t>
  </si>
  <si>
    <t>Aaron</t>
  </si>
  <si>
    <t>Replaced broken window (RESOLVED), paid for pet fee, AC Filter Replaced</t>
  </si>
  <si>
    <t>Michael</t>
  </si>
  <si>
    <t>Dorothy</t>
  </si>
  <si>
    <t>Wanted to renew lease early, AC Filter Replaced</t>
  </si>
  <si>
    <t>David</t>
  </si>
  <si>
    <t>James</t>
  </si>
  <si>
    <t>William</t>
  </si>
  <si>
    <t>Patricia</t>
  </si>
  <si>
    <t>Richard</t>
  </si>
  <si>
    <t>Carol</t>
  </si>
  <si>
    <t>Late fee paid</t>
  </si>
  <si>
    <t>Paid extra $100 by accident</t>
  </si>
  <si>
    <t>New electric water heater shut down, replaced fuses (RESOLVED)</t>
  </si>
  <si>
    <t>Requested lease renewal but only in her name, not husband (She feels like husband does not help with bills)</t>
  </si>
  <si>
    <t>Fixing to move out due to extra baby, paid this month, Security deposit returned (-$800)</t>
  </si>
  <si>
    <t>Roof leak, currently getting quotes for roof replacement due to age</t>
  </si>
  <si>
    <t>Tenant's son car crash, son is okay but car totalled</t>
  </si>
  <si>
    <t>Category</t>
  </si>
  <si>
    <t>Vendor</t>
  </si>
  <si>
    <t>Amount</t>
  </si>
  <si>
    <t>Description</t>
  </si>
  <si>
    <t>Month</t>
  </si>
  <si>
    <t>Year</t>
  </si>
  <si>
    <t>Maintenance</t>
  </si>
  <si>
    <t>ACE Hardware</t>
  </si>
  <si>
    <t>Front/Back lock/handle kit</t>
  </si>
  <si>
    <t>Miscellaneous</t>
  </si>
  <si>
    <t>Home Depot</t>
  </si>
  <si>
    <t>Returns - mixed properties</t>
  </si>
  <si>
    <t>Repair</t>
  </si>
  <si>
    <t>Lightbulb replacement (bathroom)</t>
  </si>
  <si>
    <t>Lightbulb replacement (Kitchen)</t>
  </si>
  <si>
    <t>35/5 Capacitor</t>
  </si>
  <si>
    <t>New thermostat</t>
  </si>
  <si>
    <t>Blower fan stays on, no heat</t>
  </si>
  <si>
    <t>Delta cartridge failure</t>
  </si>
  <si>
    <t>Complained no hot water to shower only</t>
  </si>
  <si>
    <t>Capital Improvement</t>
  </si>
  <si>
    <t>Rheem 40-gallon electric, two supply valves</t>
  </si>
  <si>
    <t>Eric handyman, $200 for labor</t>
  </si>
  <si>
    <t>Shower cartridge rubber seat failure</t>
  </si>
  <si>
    <t>Shower leaking, drips</t>
  </si>
  <si>
    <t>Shower cartridge failure</t>
  </si>
  <si>
    <t>AGM</t>
  </si>
  <si>
    <t>Double-pane window, bottom sash</t>
  </si>
  <si>
    <t>27 3/4L x 28 1/2W, 3/8</t>
  </si>
  <si>
    <t>Tools to fix front window</t>
  </si>
  <si>
    <t>Silicone adhesive for front window</t>
  </si>
  <si>
    <t>Additional parts/tools to fix window</t>
  </si>
  <si>
    <t>Sharps Electric</t>
  </si>
  <si>
    <t>Electrical meter/disconnect install, smoke detectors (insurance claim)</t>
  </si>
  <si>
    <t>GEICO</t>
  </si>
  <si>
    <t>Insurance Reimbursement</t>
  </si>
  <si>
    <t>Electrical, Tree, Fence</t>
  </si>
  <si>
    <t>Expense Analysis by Category</t>
  </si>
  <si>
    <t>Sum of Amount</t>
  </si>
  <si>
    <t>Grand Total</t>
  </si>
  <si>
    <t>Expense Analysis by Total</t>
  </si>
  <si>
    <t>01-Jan</t>
  </si>
  <si>
    <t>02-Feb</t>
  </si>
  <si>
    <t>03-Mar</t>
  </si>
  <si>
    <t>04-Apr</t>
  </si>
  <si>
    <t>05-May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</si>
</sst>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0.0%"/>
    <numFmt numFmtId="166" formatCode="&quot;$&quot;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2" fillId="0" borderId="0" xfId="0" applyNumberFormat="1" applyFont="1"/>
    <xf numFmtId="0" fontId="3" fillId="0" borderId="0" xfId="0" applyFont="1"/>
    <xf numFmtId="0" fontId="0" fillId="0" borderId="3" xfId="0" applyBorder="1"/>
    <xf numFmtId="0" fontId="0" fillId="0" borderId="0" xfId="0" applyAlignment="1">
      <alignment wrapText="1"/>
    </xf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0" borderId="0" xfId="0" applyNumberFormat="1" applyAlignment="1">
      <alignment wrapText="1"/>
    </xf>
    <xf numFmtId="0" fontId="0" fillId="2" borderId="0" xfId="0" applyNumberFormat="1" applyFill="1"/>
    <xf numFmtId="14" fontId="0" fillId="0" borderId="0" xfId="0" applyNumberFormat="1"/>
    <xf numFmtId="166" fontId="0" fillId="0" borderId="0" xfId="0" applyNumberFormat="1"/>
    <xf numFmtId="14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166" fontId="0" fillId="0" borderId="7" xfId="0" applyNumberFormat="1" applyBorder="1"/>
    <xf numFmtId="0" fontId="0" fillId="0" borderId="5" xfId="0" applyBorder="1"/>
    <xf numFmtId="14" fontId="0" fillId="0" borderId="3" xfId="0" applyNumberFormat="1" applyBorder="1"/>
    <xf numFmtId="0" fontId="0" fillId="0" borderId="4" xfId="0" applyBorder="1"/>
    <xf numFmtId="0" fontId="0" fillId="0" borderId="2" xfId="0" applyBorder="1"/>
    <xf numFmtId="166" fontId="0" fillId="0" borderId="8" xfId="0" applyNumberFormat="1" applyBorder="1"/>
    <xf numFmtId="164" fontId="0" fillId="3" borderId="1" xfId="0" applyNumberFormat="1" applyFill="1" applyBorder="1" applyAlignment="1">
      <alignment wrapText="1"/>
    </xf>
    <xf numFmtId="0" fontId="0" fillId="0" borderId="7" xfId="0" applyBorder="1" applyAlignment="1">
      <alignment wrapText="1"/>
    </xf>
    <xf numFmtId="164" fontId="0" fillId="0" borderId="1" xfId="0" applyNumberFormat="1" applyBorder="1"/>
    <xf numFmtId="6" fontId="0" fillId="0" borderId="1" xfId="0" applyNumberFormat="1" applyBorder="1"/>
    <xf numFmtId="5" fontId="0" fillId="0" borderId="1" xfId="0" applyNumberFormat="1" applyBorder="1"/>
    <xf numFmtId="164" fontId="0" fillId="0" borderId="7" xfId="0" applyNumberFormat="1" applyBorder="1"/>
    <xf numFmtId="6" fontId="0" fillId="0" borderId="7" xfId="0" applyNumberFormat="1" applyBorder="1"/>
    <xf numFmtId="5" fontId="0" fillId="0" borderId="7" xfId="0" applyNumberFormat="1" applyBorder="1"/>
    <xf numFmtId="0" fontId="0" fillId="0" borderId="9" xfId="0" applyBorder="1"/>
    <xf numFmtId="6" fontId="0" fillId="0" borderId="10" xfId="0" applyNumberFormat="1" applyBorder="1"/>
    <xf numFmtId="6" fontId="0" fillId="0" borderId="2" xfId="0" applyNumberFormat="1" applyBorder="1"/>
    <xf numFmtId="0" fontId="4" fillId="0" borderId="0" xfId="0" applyFont="1"/>
    <xf numFmtId="0" fontId="1" fillId="0" borderId="1" xfId="0" applyFont="1" applyBorder="1"/>
    <xf numFmtId="165" fontId="0" fillId="0" borderId="1" xfId="0" applyNumberFormat="1" applyBorder="1"/>
    <xf numFmtId="0" fontId="0" fillId="0" borderId="0" xfId="0" pivotButton="1"/>
    <xf numFmtId="0" fontId="0" fillId="0" borderId="1" xfId="0" pivotButton="1" applyBorder="1"/>
    <xf numFmtId="0" fontId="0" fillId="0" borderId="10" xfId="0" applyBorder="1"/>
    <xf numFmtId="14" fontId="0" fillId="0" borderId="9" xfId="0" applyNumberFormat="1" applyBorder="1"/>
    <xf numFmtId="0" fontId="0" fillId="0" borderId="1" xfId="0" applyBorder="1" applyAlignment="1">
      <alignment wrapText="1"/>
    </xf>
    <xf numFmtId="0" fontId="0" fillId="0" borderId="10" xfId="0" applyBorder="1" applyAlignment="1">
      <alignment wrapText="1"/>
    </xf>
    <xf numFmtId="164" fontId="0" fillId="3" borderId="0" xfId="0" applyNumberFormat="1" applyFill="1" applyBorder="1"/>
    <xf numFmtId="165" fontId="0" fillId="2" borderId="0" xfId="0" applyNumberFormat="1" applyFill="1" applyBorder="1"/>
    <xf numFmtId="0" fontId="0" fillId="3" borderId="7" xfId="0" applyFill="1" applyBorder="1"/>
    <xf numFmtId="164" fontId="0" fillId="3" borderId="7" xfId="0" applyNumberFormat="1" applyFill="1" applyBorder="1"/>
    <xf numFmtId="9" fontId="0" fillId="3" borderId="7" xfId="0" applyNumberFormat="1" applyFill="1" applyBorder="1"/>
    <xf numFmtId="164" fontId="0" fillId="3" borderId="7" xfId="0" applyNumberFormat="1" applyFill="1" applyBorder="1" applyAlignment="1">
      <alignment wrapText="1"/>
    </xf>
    <xf numFmtId="164" fontId="0" fillId="2" borderId="7" xfId="0" applyNumberFormat="1" applyFill="1" applyBorder="1"/>
    <xf numFmtId="165" fontId="0" fillId="2" borderId="7" xfId="0" applyNumberFormat="1" applyFill="1" applyBorder="1"/>
    <xf numFmtId="164" fontId="0" fillId="0" borderId="1" xfId="0" applyNumberFormat="1" applyBorder="1" applyAlignment="1">
      <alignment wrapText="1"/>
    </xf>
    <xf numFmtId="164" fontId="0" fillId="0" borderId="7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Border="1"/>
    <xf numFmtId="0" fontId="0" fillId="3" borderId="0" xfId="0" applyFill="1"/>
    <xf numFmtId="8" fontId="0" fillId="0" borderId="1" xfId="0" applyNumberFormat="1" applyBorder="1"/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93">
    <dxf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9" formatCode="m/d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numFmt numFmtId="19" formatCode="m/d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&quot;$&quot;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&quot;$&quot;#,##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9" formatCode="m/d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66" formatCode="&quot;$&quot;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&quot;$&quot;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&quot;$&quot;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6" formatCode="&quot;$&quot;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m/d/yyyy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0.0%"/>
      <fill>
        <patternFill patternType="solid">
          <fgColor indexed="64"/>
          <bgColor theme="6" tint="0.79998168889431442"/>
        </patternFill>
      </fill>
      <border>
        <left/>
        <right style="thin">
          <color rgb="FF000000"/>
        </right>
        <top/>
        <bottom/>
        <vertical/>
        <horizontal/>
      </border>
    </dxf>
    <dxf>
      <numFmt numFmtId="164" formatCode="&quot;$&quot;#,##0"/>
      <fill>
        <patternFill patternType="solid">
          <fgColor indexed="64"/>
          <bgColor theme="0"/>
        </patternFill>
      </fill>
      <border>
        <left style="thin">
          <color rgb="FF000000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0.0%"/>
      <fill>
        <patternFill patternType="solid">
          <fgColor indexed="64"/>
          <bgColor theme="6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0.0%"/>
      <fill>
        <patternFill patternType="solid">
          <fgColor indexed="64"/>
          <bgColor theme="6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0.0%"/>
      <fill>
        <patternFill patternType="solid">
          <fgColor indexed="64"/>
          <bgColor theme="6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fill>
        <patternFill patternType="solid">
          <fgColor indexed="64"/>
          <bgColor theme="6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fill>
        <patternFill patternType="solid">
          <fgColor indexed="64"/>
          <bgColor theme="6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fill>
        <patternFill patternType="solid">
          <fgColor indexed="64"/>
          <bgColor theme="6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fill>
        <patternFill patternType="solid">
          <fgColor indexed="64"/>
          <bgColor theme="6" tint="0.7999816888943144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0" formatCode="&quot;$&quot;#,##0_);[Red]\(&quot;$&quot;#,##0\)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0" formatCode="&quot;$&quot;#,##0_);[Red]\(&quot;$&quot;#,##0\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9" formatCode="&quot;$&quot;#,##0_);\(&quot;$&quot;#,##0\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0" formatCode="&quot;$&quot;#,##0_);[Red]\(&quot;$&quot;#,##0\)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&quot;$&quot;#,##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2" formatCode="&quot;$&quot;#,##0.00_);[Red]\(&quot;$&quot;#,##0.00\)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Cap Rate by Property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Dashboard!$W$3</c:f>
              <c:strCache>
                <c:ptCount val="1"/>
                <c:pt idx="0">
                  <c:v>Current cap rate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Dashboard!$V$4:$V$16</c:f>
              <c:strCache>
                <c:ptCount val="13"/>
                <c:pt idx="0">
                  <c:v>412 Elmwood Drive</c:v>
                </c:pt>
                <c:pt idx="1">
                  <c:v>728 Chestnut Lane</c:v>
                </c:pt>
                <c:pt idx="2">
                  <c:v>1053 Ridgeway Avenue</c:v>
                </c:pt>
                <c:pt idx="3">
                  <c:v>309 Birchwood Court</c:v>
                </c:pt>
                <c:pt idx="4">
                  <c:v>847 Sycamore Street</c:v>
                </c:pt>
                <c:pt idx="5">
                  <c:v>215 Hollow Creek Road</c:v>
                </c:pt>
                <c:pt idx="6">
                  <c:v>634 Pinecrest Boulevard</c:v>
                </c:pt>
                <c:pt idx="7">
                  <c:v>491 Maplewood Circle</c:v>
                </c:pt>
                <c:pt idx="8">
                  <c:v>1127 Cedarhill Drive</c:v>
                </c:pt>
                <c:pt idx="9">
                  <c:v>376 Walnut Grove Lane</c:v>
                </c:pt>
                <c:pt idx="10">
                  <c:v>823 Thornberry Street</c:v>
                </c:pt>
                <c:pt idx="11">
                  <c:v>Mid-range Test Prop</c:v>
                </c:pt>
                <c:pt idx="12">
                  <c:v>High-end Test Prop</c:v>
                </c:pt>
              </c:strCache>
            </c:strRef>
          </c:cat>
          <c:val>
            <c:numRef>
              <c:f>Dashboard!$W$4:$W$16</c:f>
              <c:numCache>
                <c:formatCode>0.0%</c:formatCode>
                <c:ptCount val="13"/>
                <c:pt idx="0">
                  <c:v>9.5632183908045981E-2</c:v>
                </c:pt>
                <c:pt idx="1">
                  <c:v>0.10064516129032258</c:v>
                </c:pt>
                <c:pt idx="2">
                  <c:v>7.2496453900709218E-2</c:v>
                </c:pt>
                <c:pt idx="3">
                  <c:v>8.4947368421052633E-2</c:v>
                </c:pt>
                <c:pt idx="4">
                  <c:v>8.1568627450980397E-2</c:v>
                </c:pt>
                <c:pt idx="5">
                  <c:v>8.6068965517241386E-2</c:v>
                </c:pt>
                <c:pt idx="6">
                  <c:v>0.11319727891156463</c:v>
                </c:pt>
                <c:pt idx="7">
                  <c:v>4.7570526315789473E-2</c:v>
                </c:pt>
                <c:pt idx="8">
                  <c:v>7.6338514680483596E-2</c:v>
                </c:pt>
                <c:pt idx="9">
                  <c:v>8.0436760691537768E-2</c:v>
                </c:pt>
                <c:pt idx="10">
                  <c:v>5.7655755015839492E-2</c:v>
                </c:pt>
                <c:pt idx="11">
                  <c:v>1.6473663742551679E-2</c:v>
                </c:pt>
                <c:pt idx="12">
                  <c:v>1.0261386452126403E-2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6-4C0E-857A-97F84FF65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3978759"/>
        <c:axId val="523993095"/>
      </c:barChart>
      <c:catAx>
        <c:axId val="523978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93095"/>
        <c:crosses val="autoZero"/>
        <c:auto val="1"/>
        <c:lblAlgn val="ctr"/>
        <c:lblOffset val="100"/>
        <c:noMultiLvlLbl val="0"/>
      </c:catAx>
      <c:valAx>
        <c:axId val="523993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978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Yield vs Current Cap Rate by Property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 cap rate</c:v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cat>
            <c:strRef>
              <c:f>Dashboard!$V$4:$V$16</c:f>
              <c:strCache>
                <c:ptCount val="13"/>
                <c:pt idx="0">
                  <c:v>412 Elmwood Drive</c:v>
                </c:pt>
                <c:pt idx="1">
                  <c:v>728 Chestnut Lane</c:v>
                </c:pt>
                <c:pt idx="2">
                  <c:v>1053 Ridgeway Avenue</c:v>
                </c:pt>
                <c:pt idx="3">
                  <c:v>309 Birchwood Court</c:v>
                </c:pt>
                <c:pt idx="4">
                  <c:v>847 Sycamore Street</c:v>
                </c:pt>
                <c:pt idx="5">
                  <c:v>215 Hollow Creek Road</c:v>
                </c:pt>
                <c:pt idx="6">
                  <c:v>634 Pinecrest Boulevard</c:v>
                </c:pt>
                <c:pt idx="7">
                  <c:v>491 Maplewood Circle</c:v>
                </c:pt>
                <c:pt idx="8">
                  <c:v>1127 Cedarhill Drive</c:v>
                </c:pt>
                <c:pt idx="9">
                  <c:v>376 Walnut Grove Lane</c:v>
                </c:pt>
                <c:pt idx="10">
                  <c:v>823 Thornberry Street</c:v>
                </c:pt>
                <c:pt idx="11">
                  <c:v>Mid-range Test Prop</c:v>
                </c:pt>
                <c:pt idx="12">
                  <c:v>High-end Test Prop</c:v>
                </c:pt>
              </c:strCache>
            </c:strRef>
          </c:cat>
          <c:val>
            <c:numRef>
              <c:f>Dashboard!$W$4:$W$16</c:f>
              <c:numCache>
                <c:formatCode>0.0%</c:formatCode>
                <c:ptCount val="13"/>
                <c:pt idx="0">
                  <c:v>9.5632183908045981E-2</c:v>
                </c:pt>
                <c:pt idx="1">
                  <c:v>0.10064516129032258</c:v>
                </c:pt>
                <c:pt idx="2">
                  <c:v>7.2496453900709218E-2</c:v>
                </c:pt>
                <c:pt idx="3">
                  <c:v>8.4947368421052633E-2</c:v>
                </c:pt>
                <c:pt idx="4">
                  <c:v>8.1568627450980397E-2</c:v>
                </c:pt>
                <c:pt idx="5">
                  <c:v>8.6068965517241386E-2</c:v>
                </c:pt>
                <c:pt idx="6">
                  <c:v>0.11319727891156463</c:v>
                </c:pt>
                <c:pt idx="7">
                  <c:v>4.7570526315789473E-2</c:v>
                </c:pt>
                <c:pt idx="8">
                  <c:v>7.6338514680483596E-2</c:v>
                </c:pt>
                <c:pt idx="9">
                  <c:v>8.0436760691537768E-2</c:v>
                </c:pt>
                <c:pt idx="10">
                  <c:v>5.7655755015839492E-2</c:v>
                </c:pt>
                <c:pt idx="11">
                  <c:v>1.6473663742551679E-2</c:v>
                </c:pt>
                <c:pt idx="12">
                  <c:v>1.0261386452126403E-2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0-49C2-98E4-26C24AA4FD1A}"/>
            </c:ext>
          </c:extLst>
        </c:ser>
        <c:ser>
          <c:idx val="1"/>
          <c:order val="1"/>
          <c:tx>
            <c:v>Gross yield</c:v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Dashboard!$V$4:$V$16</c:f>
              <c:strCache>
                <c:ptCount val="13"/>
                <c:pt idx="0">
                  <c:v>412 Elmwood Drive</c:v>
                </c:pt>
                <c:pt idx="1">
                  <c:v>728 Chestnut Lane</c:v>
                </c:pt>
                <c:pt idx="2">
                  <c:v>1053 Ridgeway Avenue</c:v>
                </c:pt>
                <c:pt idx="3">
                  <c:v>309 Birchwood Court</c:v>
                </c:pt>
                <c:pt idx="4">
                  <c:v>847 Sycamore Street</c:v>
                </c:pt>
                <c:pt idx="5">
                  <c:v>215 Hollow Creek Road</c:v>
                </c:pt>
                <c:pt idx="6">
                  <c:v>634 Pinecrest Boulevard</c:v>
                </c:pt>
                <c:pt idx="7">
                  <c:v>491 Maplewood Circle</c:v>
                </c:pt>
                <c:pt idx="8">
                  <c:v>1127 Cedarhill Drive</c:v>
                </c:pt>
                <c:pt idx="9">
                  <c:v>376 Walnut Grove Lane</c:v>
                </c:pt>
                <c:pt idx="10">
                  <c:v>823 Thornberry Street</c:v>
                </c:pt>
                <c:pt idx="11">
                  <c:v>Mid-range Test Prop</c:v>
                </c:pt>
                <c:pt idx="12">
                  <c:v>High-end Test Prop</c:v>
                </c:pt>
              </c:strCache>
            </c:strRef>
          </c:cat>
          <c:val>
            <c:numRef>
              <c:f>Dashboard!$X$4:$X$16</c:f>
              <c:numCache>
                <c:formatCode>0.0%</c:formatCode>
                <c:ptCount val="13"/>
                <c:pt idx="0">
                  <c:v>0.53333333333333333</c:v>
                </c:pt>
                <c:pt idx="1">
                  <c:v>0.56842105263157894</c:v>
                </c:pt>
                <c:pt idx="2">
                  <c:v>0.51818181818181819</c:v>
                </c:pt>
                <c:pt idx="3">
                  <c:v>0.58064516129032262</c:v>
                </c:pt>
                <c:pt idx="4">
                  <c:v>0.51428571428571423</c:v>
                </c:pt>
                <c:pt idx="5">
                  <c:v>0.65454545454545454</c:v>
                </c:pt>
                <c:pt idx="6">
                  <c:v>0.64</c:v>
                </c:pt>
                <c:pt idx="7">
                  <c:v>0.52500000000000002</c:v>
                </c:pt>
                <c:pt idx="8">
                  <c:v>0.7846153846153846</c:v>
                </c:pt>
                <c:pt idx="9">
                  <c:v>0.58285714285714285</c:v>
                </c:pt>
                <c:pt idx="10">
                  <c:v>0.52500000000000002</c:v>
                </c:pt>
                <c:pt idx="11">
                  <c:v>9.3333333333333338E-2</c:v>
                </c:pt>
                <c:pt idx="12">
                  <c:v>8.2500000000000004E-2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0-49C2-98E4-26C24AA4F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063560"/>
        <c:axId val="2103065608"/>
      </c:barChart>
      <c:catAx>
        <c:axId val="210306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65608"/>
        <c:crosses val="autoZero"/>
        <c:auto val="1"/>
        <c:lblAlgn val="ctr"/>
        <c:lblOffset val="100"/>
        <c:noMultiLvlLbl val="0"/>
      </c:catAx>
      <c:valAx>
        <c:axId val="210306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63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 vs Actual NOI by Property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Dashboard!$AA$3</c:f>
              <c:strCache>
                <c:ptCount val="1"/>
                <c:pt idx="0">
                  <c:v>Target NOI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Dashboard!$Z$4:$Z$16</c:f>
              <c:strCache>
                <c:ptCount val="13"/>
                <c:pt idx="0">
                  <c:v>412 Elmwood Drive</c:v>
                </c:pt>
                <c:pt idx="1">
                  <c:v>728 Chestnut Lane</c:v>
                </c:pt>
                <c:pt idx="2">
                  <c:v>1053 Ridgeway Avenue</c:v>
                </c:pt>
                <c:pt idx="3">
                  <c:v>309 Birchwood Court</c:v>
                </c:pt>
                <c:pt idx="4">
                  <c:v>847 Sycamore Street</c:v>
                </c:pt>
                <c:pt idx="5">
                  <c:v>215 Hollow Creek Road</c:v>
                </c:pt>
                <c:pt idx="6">
                  <c:v>634 Pinecrest Boulevard</c:v>
                </c:pt>
                <c:pt idx="7">
                  <c:v>491 Maplewood Circle</c:v>
                </c:pt>
                <c:pt idx="8">
                  <c:v>1127 Cedarhill Drive</c:v>
                </c:pt>
                <c:pt idx="9">
                  <c:v>376 Walnut Grove Lane</c:v>
                </c:pt>
                <c:pt idx="10">
                  <c:v>823 Thornberry Street</c:v>
                </c:pt>
                <c:pt idx="11">
                  <c:v>Mid-range Test Prop</c:v>
                </c:pt>
                <c:pt idx="12">
                  <c:v>High-end Test Prop</c:v>
                </c:pt>
              </c:strCache>
            </c:strRef>
          </c:cat>
          <c:val>
            <c:numRef>
              <c:f>Dashboard!$AA$4:$AA$16</c:f>
              <c:numCache>
                <c:formatCode>"$"#,##0</c:formatCode>
                <c:ptCount val="13"/>
                <c:pt idx="0">
                  <c:v>693.33333333333337</c:v>
                </c:pt>
                <c:pt idx="1">
                  <c:v>780</c:v>
                </c:pt>
                <c:pt idx="2">
                  <c:v>425.91666666666669</c:v>
                </c:pt>
                <c:pt idx="3">
                  <c:v>672.5</c:v>
                </c:pt>
                <c:pt idx="4">
                  <c:v>780</c:v>
                </c:pt>
                <c:pt idx="5">
                  <c:v>780</c:v>
                </c:pt>
                <c:pt idx="6">
                  <c:v>693.33333333333337</c:v>
                </c:pt>
                <c:pt idx="7">
                  <c:v>470.75</c:v>
                </c:pt>
                <c:pt idx="8">
                  <c:v>736.66666666666663</c:v>
                </c:pt>
                <c:pt idx="9">
                  <c:v>736.66666666666663</c:v>
                </c:pt>
                <c:pt idx="10">
                  <c:v>455</c:v>
                </c:pt>
                <c:pt idx="11">
                  <c:v>274.56106237586135</c:v>
                </c:pt>
                <c:pt idx="12">
                  <c:v>342.04621507088007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E-47BD-8308-D0CD348503F3}"/>
            </c:ext>
          </c:extLst>
        </c:ser>
        <c:ser>
          <c:idx val="1"/>
          <c:order val="1"/>
          <c:tx>
            <c:strRef>
              <c:f>Dashboard!$AB$3</c:f>
              <c:strCache>
                <c:ptCount val="1"/>
                <c:pt idx="0">
                  <c:v>Actual NOI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Dashboard!$Z$4:$Z$16</c:f>
              <c:strCache>
                <c:ptCount val="13"/>
                <c:pt idx="0">
                  <c:v>412 Elmwood Drive</c:v>
                </c:pt>
                <c:pt idx="1">
                  <c:v>728 Chestnut Lane</c:v>
                </c:pt>
                <c:pt idx="2">
                  <c:v>1053 Ridgeway Avenue</c:v>
                </c:pt>
                <c:pt idx="3">
                  <c:v>309 Birchwood Court</c:v>
                </c:pt>
                <c:pt idx="4">
                  <c:v>847 Sycamore Street</c:v>
                </c:pt>
                <c:pt idx="5">
                  <c:v>215 Hollow Creek Road</c:v>
                </c:pt>
                <c:pt idx="6">
                  <c:v>634 Pinecrest Boulevard</c:v>
                </c:pt>
                <c:pt idx="7">
                  <c:v>491 Maplewood Circle</c:v>
                </c:pt>
                <c:pt idx="8">
                  <c:v>1127 Cedarhill Drive</c:v>
                </c:pt>
                <c:pt idx="9">
                  <c:v>376 Walnut Grove Lane</c:v>
                </c:pt>
                <c:pt idx="10">
                  <c:v>823 Thornberry Street</c:v>
                </c:pt>
                <c:pt idx="11">
                  <c:v>Mid-range Test Prop</c:v>
                </c:pt>
                <c:pt idx="12">
                  <c:v>High-end Test Prop</c:v>
                </c:pt>
              </c:strCache>
            </c:strRef>
          </c:cat>
          <c:val>
            <c:numRef>
              <c:f>Dashboard!$AB$4:$AB$16</c:f>
              <c:numCache>
                <c:formatCode>"$"#,##0</c:formatCode>
                <c:ptCount val="13"/>
                <c:pt idx="0">
                  <c:v>884.80399999999997</c:v>
                </c:pt>
                <c:pt idx="1">
                  <c:v>1080</c:v>
                </c:pt>
                <c:pt idx="2">
                  <c:v>570</c:v>
                </c:pt>
                <c:pt idx="3">
                  <c:v>881.08199999999999</c:v>
                </c:pt>
                <c:pt idx="4">
                  <c:v>1067.23</c:v>
                </c:pt>
                <c:pt idx="5">
                  <c:v>1032.0519999999999</c:v>
                </c:pt>
                <c:pt idx="6">
                  <c:v>956.08600000000001</c:v>
                </c:pt>
                <c:pt idx="7">
                  <c:v>630</c:v>
                </c:pt>
                <c:pt idx="8">
                  <c:v>844.14200000000005</c:v>
                </c:pt>
                <c:pt idx="9">
                  <c:v>630</c:v>
                </c:pt>
                <c:pt idx="10">
                  <c:v>1020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E-47BD-8308-D0CD34850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278600"/>
        <c:axId val="311282696"/>
      </c:barChart>
      <c:catAx>
        <c:axId val="31127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82696"/>
        <c:crosses val="autoZero"/>
        <c:auto val="1"/>
        <c:lblAlgn val="ctr"/>
        <c:lblOffset val="100"/>
        <c:noMultiLvlLbl val="0"/>
      </c:catAx>
      <c:valAx>
        <c:axId val="31128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27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180975</xdr:rowOff>
    </xdr:from>
    <xdr:to>
      <xdr:col>2</xdr:col>
      <xdr:colOff>409575</xdr:colOff>
      <xdr:row>31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C064F-EA33-6457-EB90-D20700A0F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409575</xdr:colOff>
      <xdr:row>17</xdr:row>
      <xdr:rowOff>180975</xdr:rowOff>
    </xdr:from>
    <xdr:to>
      <xdr:col>8</xdr:col>
      <xdr:colOff>295275</xdr:colOff>
      <xdr:row>31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044BF-A6A4-F965-BF67-CCB6B7712584}"/>
            </a:ext>
            <a:ext uri="{147F2762-F138-4A5C-976F-8EAC2B608ADB}">
              <a16:predDERef xmlns:a16="http://schemas.microsoft.com/office/drawing/2014/main" pred="{908C064F-EA33-6457-EB90-D20700A0F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2343150</xdr:colOff>
      <xdr:row>31</xdr:row>
      <xdr:rowOff>85725</xdr:rowOff>
    </xdr:from>
    <xdr:to>
      <xdr:col>4</xdr:col>
      <xdr:colOff>981075</xdr:colOff>
      <xdr:row>46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B47019-2F6F-3BDB-8C76-BEEE95EA8322}"/>
            </a:ext>
            <a:ext uri="{147F2762-F138-4A5C-976F-8EAC2B608ADB}">
              <a16:predDERef xmlns:a16="http://schemas.microsoft.com/office/drawing/2014/main" pred="{FD8044BF-A6A4-F965-BF67-CCB6B7712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0.907186921293" createdVersion="8" refreshedVersion="8" minRefreshableVersion="3" recordCount="18" xr:uid="{61C2F7CD-7789-40CA-B2E7-CE403C6DC3E9}">
  <cacheSource type="worksheet">
    <worksheetSource name="ExpensesTable"/>
  </cacheSource>
  <cacheFields count="9">
    <cacheField name="Date" numFmtId="14">
      <sharedItems containsSemiMixedTypes="0" containsNonDate="0" containsDate="1" containsString="0" minDate="2026-01-01T00:00:00" maxDate="2026-05-16T00:00:00"/>
    </cacheField>
    <cacheField name="Property" numFmtId="0">
      <sharedItems count="7">
        <s v="1127 Cedarhill Drive"/>
        <s v="General"/>
        <s v="412 Elmwood Drive"/>
        <s v="634 Pinecrest Boulevard"/>
        <s v="309 Birchwood Court"/>
        <s v="215 Hollow Creek Road"/>
        <s v="847 Sycamore Street"/>
      </sharedItems>
    </cacheField>
    <cacheField name="Category" numFmtId="0">
      <sharedItems count="4">
        <s v="Maintenance"/>
        <s v="Miscellaneous"/>
        <s v="Repair"/>
        <s v="Capital Improvement"/>
      </sharedItems>
    </cacheField>
    <cacheField name="Vendor" numFmtId="0">
      <sharedItems/>
    </cacheField>
    <cacheField name="Amount" numFmtId="166">
      <sharedItems containsSemiMixedTypes="0" containsString="0" containsNumber="1" minValue="-2811.15" maxValue="3000"/>
    </cacheField>
    <cacheField name="Description" numFmtId="0">
      <sharedItems/>
    </cacheField>
    <cacheField name="Notes" numFmtId="0">
      <sharedItems containsBlank="1"/>
    </cacheField>
    <cacheField name="Month" numFmtId="14">
      <sharedItems count="5">
        <s v="01-Jan"/>
        <s v="02-Feb"/>
        <s v="03-Mar"/>
        <s v="04-Apr"/>
        <s v="05-May"/>
      </sharedItems>
    </cacheField>
    <cacheField name="Year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6-01-01T00:00:00"/>
    <x v="0"/>
    <x v="0"/>
    <s v="ACE Hardware"/>
    <n v="38.950000000000003"/>
    <s v="Front/Back lock/handle kit"/>
    <m/>
    <x v="0"/>
    <s v="2026"/>
  </r>
  <r>
    <d v="2026-01-06T00:00:00"/>
    <x v="1"/>
    <x v="1"/>
    <s v="Home Depot"/>
    <n v="-165.83"/>
    <s v="Returns - mixed properties"/>
    <m/>
    <x v="0"/>
    <s v="2026"/>
  </r>
  <r>
    <d v="2026-01-13T00:00:00"/>
    <x v="2"/>
    <x v="2"/>
    <s v="Home Depot"/>
    <n v="7.64"/>
    <s v="Lightbulb replacement (bathroom)"/>
    <m/>
    <x v="0"/>
    <s v="2026"/>
  </r>
  <r>
    <d v="2026-01-13T00:00:00"/>
    <x v="2"/>
    <x v="2"/>
    <s v="Home Depot"/>
    <n v="6.55"/>
    <s v="Lightbulb replacement (Kitchen)"/>
    <m/>
    <x v="0"/>
    <s v="2026"/>
  </r>
  <r>
    <d v="2026-01-15T00:00:00"/>
    <x v="3"/>
    <x v="2"/>
    <s v="ACE Hardware"/>
    <n v="19.57"/>
    <s v="35/5 Capacitor"/>
    <m/>
    <x v="0"/>
    <s v="2026"/>
  </r>
  <r>
    <d v="2026-01-23T00:00:00"/>
    <x v="1"/>
    <x v="1"/>
    <s v="Home Depot"/>
    <n v="-24.99"/>
    <s v="Returns - mixed properties"/>
    <m/>
    <x v="0"/>
    <s v="2026"/>
  </r>
  <r>
    <d v="2026-02-03T00:00:00"/>
    <x v="0"/>
    <x v="2"/>
    <s v="Home Depot"/>
    <n v="54.71"/>
    <s v="New thermostat"/>
    <s v="Blower fan stays on, no heat"/>
    <x v="1"/>
    <s v="2026"/>
  </r>
  <r>
    <d v="2026-02-05T00:00:00"/>
    <x v="2"/>
    <x v="2"/>
    <s v="Home Depot"/>
    <n v="361.79"/>
    <s v="Delta cartridge failure"/>
    <s v="Complained no hot water to shower only"/>
    <x v="1"/>
    <s v="2026"/>
  </r>
  <r>
    <d v="2026-02-13T00:00:00"/>
    <x v="0"/>
    <x v="3"/>
    <s v="Home Depot"/>
    <n v="785.63"/>
    <s v="Rheem 40-gallon electric, two supply valves"/>
    <s v="Eric handyman, $200 for labor"/>
    <x v="1"/>
    <s v="2026"/>
  </r>
  <r>
    <d v="2026-03-12T00:00:00"/>
    <x v="4"/>
    <x v="2"/>
    <s v="Home Depot"/>
    <n v="47.57"/>
    <s v="Shower cartridge rubber seat failure"/>
    <s v="Shower leaking, drips"/>
    <x v="2"/>
    <s v="2026"/>
  </r>
  <r>
    <d v="2026-03-19T00:00:00"/>
    <x v="4"/>
    <x v="2"/>
    <s v="Home Depot"/>
    <n v="47.02"/>
    <s v="Shower cartridge failure"/>
    <s v="Shower leaking, drips"/>
    <x v="2"/>
    <s v="2026"/>
  </r>
  <r>
    <d v="2026-03-19T00:00:00"/>
    <x v="1"/>
    <x v="1"/>
    <s v="Home Depot"/>
    <n v="-494.7"/>
    <s v="Returns - mixed properties"/>
    <m/>
    <x v="2"/>
    <s v="2026"/>
  </r>
  <r>
    <d v="2026-03-24T00:00:00"/>
    <x v="5"/>
    <x v="2"/>
    <s v="AGM"/>
    <n v="286.57"/>
    <s v="Double-pane window, bottom sash"/>
    <s v="27 3/4L x 28 1/2W, 3/8"/>
    <x v="2"/>
    <s v="2026"/>
  </r>
  <r>
    <d v="2026-03-25T00:00:00"/>
    <x v="5"/>
    <x v="2"/>
    <s v="Home Depot"/>
    <n v="59.62"/>
    <s v="Tools to fix front window"/>
    <m/>
    <x v="2"/>
    <s v="2026"/>
  </r>
  <r>
    <d v="2026-03-26T00:00:00"/>
    <x v="5"/>
    <x v="2"/>
    <s v="Home Depot"/>
    <n v="18.29"/>
    <s v="Silicone adhesive for front window"/>
    <m/>
    <x v="2"/>
    <s v="2026"/>
  </r>
  <r>
    <d v="2026-04-06T00:00:00"/>
    <x v="5"/>
    <x v="2"/>
    <s v="Home Depot"/>
    <n v="50.26"/>
    <s v="Additional parts/tools to fix window"/>
    <m/>
    <x v="3"/>
    <s v="2026"/>
  </r>
  <r>
    <d v="2026-05-13T00:00:00"/>
    <x v="6"/>
    <x v="2"/>
    <s v="Sharps Electric"/>
    <n v="3000"/>
    <s v="Electrical meter/disconnect install, smoke detectors (insurance claim)"/>
    <m/>
    <x v="4"/>
    <s v="2026"/>
  </r>
  <r>
    <d v="2026-05-15T00:00:00"/>
    <x v="6"/>
    <x v="2"/>
    <s v="GEICO"/>
    <n v="-2811.15"/>
    <s v="Insurance Reimbursement"/>
    <s v="Electrical, Tree, Fence"/>
    <x v="4"/>
    <s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87D74-588F-472E-A9F9-2443F0635269}" name="TotalPivotTable" cacheId="3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H21" firstHeaderRow="1" firstDataRow="2" firstDataCol="2"/>
  <pivotFields count="9">
    <pivotField compact="0" numFmtId="14" outline="0" showAll="0"/>
    <pivotField axis="axisRow" compact="0" outline="0" showAll="0">
      <items count="8">
        <item sd="0" x="0"/>
        <item sd="0" x="5"/>
        <item sd="0" x="4"/>
        <item sd="0" x="2"/>
        <item sd="0" x="3"/>
        <item sd="0" x="6"/>
        <item sd="0" x="1"/>
        <item t="default"/>
      </items>
    </pivotField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dataField="1" compact="0" numFmtId="166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</pivotFields>
  <rowFields count="2">
    <field x="1"/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mount" fld="4" baseField="0" baseItem="0" numFmtId="8"/>
  </dataFields>
  <formats count="8">
    <format dxfId="85">
      <pivotArea outline="0" collapsedLevelsAreSubtotals="1" fieldPosition="0"/>
    </format>
    <format dxfId="86">
      <pivotArea field="1" type="button" dataOnly="0" labelOnly="1" outline="0" axis="axisRow" fieldPosition="0"/>
    </format>
    <format dxfId="87">
      <pivotArea field="2" type="button" dataOnly="0" labelOnly="1" outline="0" axis="axisRow" fieldPosition="1"/>
    </format>
    <format dxfId="88">
      <pivotArea dataOnly="0" labelOnly="1" outline="0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90">
      <pivotArea dataOnly="0" labelOnly="1" outline="0" fieldPosition="0">
        <references count="1">
          <reference field="7" count="0"/>
        </references>
      </pivotArea>
    </format>
    <format dxfId="91">
      <pivotArea dataOnly="0" labelOnly="1" grandCol="1" outline="0" fieldPosition="0"/>
    </format>
    <format dxfId="92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9D1D9-8454-4090-A4FC-E5E15064BF2B}" name="CategoryAnalysis" cacheId="38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:B8" firstHeaderRow="1" firstDataRow="1" firstDataCol="1"/>
  <pivotFields count="9">
    <pivotField compact="0" numFmtId="14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 numFmtId="8"/>
  </dataFields>
  <formats count="7"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2" type="button" dataOnly="0" labelOnly="1" outline="0" axis="axisRow" fieldPosition="0"/>
    </format>
    <format dxfId="81">
      <pivotArea dataOnly="0" labelOnly="1" outline="0" fieldPosition="0">
        <references count="1">
          <reference field="2" count="0"/>
        </references>
      </pivotArea>
    </format>
    <format dxfId="82">
      <pivotArea dataOnly="0" labelOnly="1" grandRow="1" outline="0" fieldPosition="0"/>
    </format>
    <format dxfId="83">
      <pivotArea dataOnly="0" labelOnly="1" outline="0" axis="axisValues" fieldPosition="0"/>
    </format>
    <format dxfId="84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D58FAA-4C77-468C-B61B-85571BF37720}" name="ActualsTable" displayName="ActualsTable" ref="A1:J14" totalsRowShown="0" headerRowDxfId="65" headerRowBorderDxfId="63" tableBorderDxfId="64" totalsRowBorderDxfId="62">
  <autoFilter ref="A1:J14" xr:uid="{06D58FAA-4C77-468C-B61B-85571BF37720}"/>
  <tableColumns count="10">
    <tableColumn id="1" xr3:uid="{18919EBB-EFB2-4CD5-B767-467AB5881E1B}" name="Property" dataDxfId="61">
      <calculatedColumnFormula>Inputs!A3</calculatedColumnFormula>
    </tableColumn>
    <tableColumn id="2" xr3:uid="{81693C7C-E6AB-441E-A431-05AF95B4D891}" name="Target rent" dataDxfId="60">
      <calculatedColumnFormula>IFERROR(Inputs!F3,"N/A")</calculatedColumnFormula>
    </tableColumn>
    <tableColumn id="3" xr3:uid="{D98F4738-425C-4AA5-9FB8-87FC9A29DFCF}" name="Actual rent collected" dataDxfId="59">
      <calculatedColumnFormula>IFERROR(IF(SUMIF('Rent Collections'!$B$2:$B$10007,A2,'Rent Collections'!$E$2:$E$10007)=0,"No data",SUMIF('Rent Collections'!$B$2:$B$10007,A2,'Rent Collections'!$E$2:$E$10007)/(COUNTIFS('Rent Collections'!$B$2:$B$10000,"1053 Ridgeway Avenue")-1)),"No data")</calculatedColumnFormula>
    </tableColumn>
    <tableColumn id="4" xr3:uid="{65DFC455-F9DB-4483-8DDB-DAB03BF06AB9}" name="Rent variance" dataDxfId="58">
      <calculatedColumnFormula>IFERROR(IF(C2="No data","No data",C2-B2),"No data")</calculatedColumnFormula>
    </tableColumn>
    <tableColumn id="5" xr3:uid="{ECEE4D56-6BEE-4410-9F6B-E3C45C96AA8A}" name="Target expenses" dataDxfId="57">
      <calculatedColumnFormula>IFERROR(Inputs!H3,"N/A")</calculatedColumnFormula>
    </tableColumn>
    <tableColumn id="6" xr3:uid="{33706E7B-EE68-4AD6-BA08-6123708960C4}" name="Actual expenses" dataDxfId="56">
      <calculatedColumnFormula>IFERROR(IF(SUMIF(Expenses!$B$2:$B$10002,A2,Expenses!$E$2:$E$10002)=0,0,SUMIF(Expenses!$B$2:$B$10002,A2,Expenses!$E$2:$E$10002)/(COUNTIFS('Rent Collections'!$B$2:$B$10000,"1053 Ridgeway Avenue")-1)),"0")</calculatedColumnFormula>
    </tableColumn>
    <tableColumn id="7" xr3:uid="{DDE5691C-ED05-4661-8FBA-7951D66C34F9}" name="Expense variance" dataDxfId="55">
      <calculatedColumnFormula>IFERROR(IF(F2="No data","No data",F2-E2),"No data")</calculatedColumnFormula>
    </tableColumn>
    <tableColumn id="8" xr3:uid="{AD94F601-4F54-4E45-B4C8-EBD70259D6E1}" name="Target NOI" dataDxfId="54">
      <calculatedColumnFormula>IFERROR(Inputs!K3,"N/A")</calculatedColumnFormula>
    </tableColumn>
    <tableColumn id="9" xr3:uid="{475D07CD-8CA8-4CCC-8742-A6313CD9B6A6}" name="Actual NOI" dataDxfId="53">
      <calculatedColumnFormula>IFERROR(IF(OR(C2="No data",F2="No data"),"No data",C2-F2),"No data")</calculatedColumnFormula>
    </tableColumn>
    <tableColumn id="10" xr3:uid="{1B59EC16-AEEB-4D28-92FD-76DAA5496FDD}" name="NOI variance" dataDxfId="52">
      <calculatedColumnFormula>IFERROR(IF(I2="No data","No data",I2-H2),"No data")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78B53-89BF-4AB5-B457-7A41D2192912}" name="InputsTable" displayName="InputsTable" ref="A2:O16" totalsRowShown="0" headerRowDxfId="51">
  <autoFilter ref="A2:O16" xr:uid="{B7878B53-89BF-4AB5-B457-7A41D2192912}"/>
  <tableColumns count="15">
    <tableColumn id="1" xr3:uid="{F3EAA63B-BA45-4FD4-9C69-8B419C4AAB32}" name="Property Address" dataDxfId="50"/>
    <tableColumn id="2" xr3:uid="{8CDB1258-BEE0-4E29-A318-F0A357AD92F4}" name="Purchase Price" dataDxfId="49"/>
    <tableColumn id="3" xr3:uid="{F4171EF3-D5C1-4722-8D96-A7536C1C243C}" name="Down payment (%)" dataDxfId="48"/>
    <tableColumn id="4" xr3:uid="{3488A6B5-7B71-4833-B8C2-50FF6710E8C3}" name="Loan term (years)" dataDxfId="47"/>
    <tableColumn id="5" xr3:uid="{BA28C0E0-6210-4733-946E-E6F6093A9347}" name="Interest rate (%)" dataDxfId="46"/>
    <tableColumn id="6" xr3:uid="{860AFA4F-B3DE-4201-8413-D0A2E4E7209E}" name="Monthly rent" dataDxfId="45"/>
    <tableColumn id="7" xr3:uid="{334CFAB1-7366-4255-AE1E-C0AEE7E94E1A}" name="Vacancy rate (%)" dataDxfId="44"/>
    <tableColumn id="8" xr3:uid="{9A09D958-31E7-492B-80EB-DD5C478FFA11}" name="Monthly expenses" dataDxfId="43">
      <calculatedColumnFormula>F3/12</calculatedColumnFormula>
    </tableColumn>
    <tableColumn id="9" xr3:uid="{47F522DD-DBFC-446C-809C-A9A14375E5BE}" name="Effective monthly rent" dataDxfId="42">
      <calculatedColumnFormula>IFERROR(F3*(1-G3),0)</calculatedColumnFormula>
    </tableColumn>
    <tableColumn id="10" xr3:uid="{9F912708-9F6C-479B-8843-37CAA3BA0689}" name="Monthly Mortgage" dataDxfId="41">
      <calculatedColumnFormula>IFERROR(IF(D3=0,0,PMT(E3/12,D3*12,-(B3*(1-C3)))),0)</calculatedColumnFormula>
    </tableColumn>
    <tableColumn id="11" xr3:uid="{7BFD537F-CD7F-4FFA-A6E8-D2CAEA705444}" name="Monthly NOI" dataDxfId="40">
      <calculatedColumnFormula>IFERROR(I3-J3-H3,0)</calculatedColumnFormula>
    </tableColumn>
    <tableColumn id="12" xr3:uid="{28C3D55E-1B8A-484B-9385-9D96625A82B6}" name="Annual NOI" dataDxfId="39">
      <calculatedColumnFormula>IFERROR(K3*12,0)</calculatedColumnFormula>
    </tableColumn>
    <tableColumn id="13" xr3:uid="{0DE920C2-E5B7-43C6-A251-2240F08B8DD1}" name="Purchase Cap Rate" dataDxfId="38">
      <calculatedColumnFormula>IFERROR(L3/B3,0)</calculatedColumnFormula>
    </tableColumn>
    <tableColumn id="16" xr3:uid="{2950D0C8-9804-40FA-91C6-331ACBAACA59}" name="Cash-on-cash return" dataDxfId="37">
      <calculatedColumnFormula>IFERROR(L3/(B3*C3),0)</calculatedColumnFormula>
    </tableColumn>
    <tableColumn id="17" xr3:uid="{741D53D1-54FD-432E-8292-AD76C7E2888A}" name="Gross Yield" dataDxfId="36">
      <calculatedColumnFormula>IFERROR((F3*12)/B3,0)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C754B-8BAF-41D4-B5E3-F85C5EFD58C2}" name="Table2" displayName="Table2" ref="P2:Q15" totalsRowShown="0" headerRowDxfId="35">
  <autoFilter ref="P2:Q15" xr:uid="{6DAC754B-8BAF-41D4-B5E3-F85C5EFD58C2}"/>
  <tableColumns count="2">
    <tableColumn id="1" xr3:uid="{27977A49-8B5F-41C1-B1EE-D7C8F1E81611}" name="Current estimate value (Zillow)" dataDxfId="34"/>
    <tableColumn id="2" xr3:uid="{33F96D9C-AA97-45A0-9507-D55314039BE0}" name="Current cap rate" dataDxfId="33">
      <calculatedColumnFormula>IFERROR(L3/P3,0)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7EBF9E-E50D-4B2B-9F54-F07E2E85C090}" name="RentCollectionsTable" displayName="RentCollectionsTable" ref="A1:I67" totalsRowShown="0" headerRowDxfId="30" headerRowBorderDxfId="28" tableBorderDxfId="29" totalsRowBorderDxfId="27">
  <autoFilter ref="A1:I67" xr:uid="{9F7EBF9E-E50D-4B2B-9F54-F07E2E85C090}"/>
  <sortState xmlns:xlrd2="http://schemas.microsoft.com/office/spreadsheetml/2017/richdata2" ref="A2:I67">
    <sortCondition ref="A1:A67"/>
  </sortState>
  <tableColumns count="9">
    <tableColumn id="1" xr3:uid="{61304139-DFF7-470F-9EEB-9BCF74BFDFFD}" name="Date" dataDxfId="26"/>
    <tableColumn id="2" xr3:uid="{A454F531-9113-4D62-B66D-74B1A57647E9}" name="Property" dataDxfId="25"/>
    <tableColumn id="3" xr3:uid="{E6001225-8C98-455F-BDF7-875F5DEF984E}" name="Tenant" dataDxfId="24"/>
    <tableColumn id="4" xr3:uid="{C2643105-8C5A-44D0-B7F9-B6FCE83C717C}" name="Amount due" dataDxfId="23"/>
    <tableColumn id="5" xr3:uid="{AF4FBE94-3028-4088-B5F9-DDDCD65EACD4}" name="Amount collected" dataDxfId="22"/>
    <tableColumn id="6" xr3:uid="{3B7D900C-E1EE-4B22-B89E-DC3FCA672051}" name="Payment method" dataDxfId="21"/>
    <tableColumn id="7" xr3:uid="{48AA8CE2-C95E-4DE9-A9D4-488E34529C5A}" name="Balance Remaining" dataDxfId="20">
      <calculatedColumnFormula>IF(D2="","",D2-E2)</calculatedColumnFormula>
    </tableColumn>
    <tableColumn id="8" xr3:uid="{C7CDF13F-A3D7-46CE-94CB-38AEB9AFD0B6}" name="Notes" dataDxfId="19"/>
    <tableColumn id="9" xr3:uid="{34B4838A-0A23-4D65-9C03-C2B0AC7B6405}" name="Payment Status" dataDxfId="18">
      <calculatedColumnFormula>IF(RentCollectionsTable[[#This Row],[Amount due]]="","",IF(RentCollectionsTable[[#This Row],[Balance Remaining]]&gt;0,"Partial","Paid in full"))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AD1B33-F380-48A3-826D-245D4DEF3301}" name="ExpensesTable" displayName="ExpensesTable" ref="A1:I20" totalsRowCount="1">
  <autoFilter ref="A1:I19" xr:uid="{56AD1B33-F380-48A3-826D-245D4DEF3301}"/>
  <sortState xmlns:xlrd2="http://schemas.microsoft.com/office/spreadsheetml/2017/richdata2" ref="A2:I19">
    <sortCondition ref="A1:A19"/>
  </sortState>
  <tableColumns count="9">
    <tableColumn id="1" xr3:uid="{16A9E8C1-5C29-42D0-AB20-5E86856DA2CE}" name="Date" dataDxfId="16" totalsRowDxfId="17"/>
    <tableColumn id="2" xr3:uid="{B3571A71-2FEF-49E6-95FF-D15DF9202CA5}" name="Property" dataDxfId="14" totalsRowDxfId="15"/>
    <tableColumn id="3" xr3:uid="{2572A2C0-59DA-4A69-BD59-16F08B366548}" name="Category" dataDxfId="12" totalsRowDxfId="13"/>
    <tableColumn id="4" xr3:uid="{1CB68E05-4907-4699-834D-EA9677D65D26}" name="Vendor" dataDxfId="10" totalsRowDxfId="11"/>
    <tableColumn id="5" xr3:uid="{324CF6AA-312B-4B6F-A11D-500BCDC8CED9}" name="Amount" dataDxfId="8" totalsRowDxfId="9"/>
    <tableColumn id="6" xr3:uid="{666A2384-B39B-4D67-B9A9-AD540D2724FA}" name="Description" dataDxfId="6" totalsRowDxfId="7"/>
    <tableColumn id="8" xr3:uid="{C771EFEA-E167-4027-88D8-9DDDB8CAC76B}" name="Notes" dataDxfId="4" totalsRowDxfId="5"/>
    <tableColumn id="7" xr3:uid="{A4FC9158-A29B-4DF9-ADF5-2EAE614E667E}" name="Month" dataDxfId="2" totalsRowDxfId="3">
      <calculatedColumnFormula>TEXT(A2,"MM-MMM")</calculatedColumnFormula>
    </tableColumn>
    <tableColumn id="9" xr3:uid="{A4ED57F7-3E1C-4FF5-937D-78C07961936D}" name="Year" dataDxfId="0" totalsRowDxfId="1">
      <calculatedColumnFormula>TEXT(A2,"YYYY")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opLeftCell="A5" workbookViewId="0">
      <selection activeCell="F43" sqref="F43"/>
    </sheetView>
  </sheetViews>
  <sheetFormatPr defaultRowHeight="15"/>
  <cols>
    <col min="1" max="1" width="36.28515625" bestFit="1" customWidth="1"/>
    <col min="2" max="2" width="27.28515625" bestFit="1" customWidth="1"/>
    <col min="4" max="4" width="18.42578125" customWidth="1"/>
    <col min="5" max="5" width="15.140625" bestFit="1" customWidth="1"/>
    <col min="6" max="6" width="10.42578125" bestFit="1" customWidth="1"/>
    <col min="8" max="8" width="18.7109375" bestFit="1" customWidth="1"/>
    <col min="9" max="9" width="12.28515625" bestFit="1" customWidth="1"/>
    <col min="10" max="10" width="12.5703125" bestFit="1" customWidth="1"/>
    <col min="11" max="11" width="36.5703125" bestFit="1" customWidth="1"/>
    <col min="22" max="22" width="22" bestFit="1" customWidth="1"/>
    <col min="23" max="23" width="15.140625" bestFit="1" customWidth="1"/>
    <col min="24" max="24" width="10.42578125" bestFit="1" customWidth="1"/>
    <col min="26" max="26" width="22" bestFit="1" customWidth="1"/>
  </cols>
  <sheetData>
    <row r="1" spans="1:28" ht="18.75">
      <c r="A1" s="9" t="s">
        <v>0</v>
      </c>
    </row>
    <row r="3" spans="1:28">
      <c r="A3" s="45" t="s">
        <v>1</v>
      </c>
      <c r="B3" s="22">
        <f>COUNTA(PropertyList)-1</f>
        <v>13</v>
      </c>
      <c r="V3" t="s">
        <v>2</v>
      </c>
      <c r="W3" t="s">
        <v>3</v>
      </c>
      <c r="X3" t="s">
        <v>4</v>
      </c>
      <c r="Z3" t="s">
        <v>2</v>
      </c>
      <c r="AA3" t="s">
        <v>5</v>
      </c>
      <c r="AB3" t="s">
        <v>6</v>
      </c>
    </row>
    <row r="4" spans="1:28">
      <c r="A4" s="45" t="s">
        <v>7</v>
      </c>
      <c r="B4" s="23">
        <f>IFERROR(SUM(Inputs!P3:P1001),0)</f>
        <v>1681650</v>
      </c>
      <c r="V4" t="str">
        <f>Inputs!A3</f>
        <v>412 Elmwood Drive</v>
      </c>
      <c r="W4" s="6">
        <f>Inputs!Q3</f>
        <v>9.5632183908045981E-2</v>
      </c>
      <c r="X4" s="6">
        <f>Inputs!O3</f>
        <v>0.53333333333333333</v>
      </c>
      <c r="Z4" t="str">
        <f>Actuals!A2</f>
        <v>412 Elmwood Drive</v>
      </c>
      <c r="AA4" s="4">
        <f>Actuals!H2</f>
        <v>693.33333333333337</v>
      </c>
      <c r="AB4" s="4">
        <f>IF(Actuals!I2="No data",0,Actuals!I2)</f>
        <v>884.80399999999997</v>
      </c>
    </row>
    <row r="5" spans="1:28">
      <c r="A5" s="45" t="s">
        <v>8</v>
      </c>
      <c r="B5" s="23">
        <f>IFERROR(SUM(Inputs!I3:I1001),0)</f>
        <v>11333.75</v>
      </c>
      <c r="V5" t="str">
        <f>Inputs!A4</f>
        <v>728 Chestnut Lane</v>
      </c>
      <c r="W5" s="6">
        <f>Inputs!Q4</f>
        <v>0.10064516129032258</v>
      </c>
      <c r="X5" s="6">
        <f>Inputs!O4</f>
        <v>0.56842105263157894</v>
      </c>
      <c r="Z5" t="str">
        <f>Actuals!A3</f>
        <v>728 Chestnut Lane</v>
      </c>
      <c r="AA5" s="4">
        <f>Actuals!H3</f>
        <v>780</v>
      </c>
      <c r="AB5" s="4">
        <f>IF(Actuals!I3="No data",0,Actuals!I3)</f>
        <v>1080</v>
      </c>
    </row>
    <row r="6" spans="1:28">
      <c r="A6" s="45" t="s">
        <v>9</v>
      </c>
      <c r="B6" s="23">
        <f>IFERROR(SUM(Inputs!L3:L1001),0)</f>
        <v>94089.287329360886</v>
      </c>
      <c r="V6" t="str">
        <f>Inputs!A5</f>
        <v>1053 Ridgeway Avenue</v>
      </c>
      <c r="W6" s="6">
        <f>Inputs!Q5</f>
        <v>7.2496453900709218E-2</v>
      </c>
      <c r="X6" s="6">
        <f>Inputs!O5</f>
        <v>0.51818181818181819</v>
      </c>
      <c r="Z6" t="str">
        <f>Actuals!A4</f>
        <v>1053 Ridgeway Avenue</v>
      </c>
      <c r="AA6" s="4">
        <f>Actuals!H4</f>
        <v>425.91666666666669</v>
      </c>
      <c r="AB6" s="4">
        <f>IF(Actuals!I4="No data",0,Actuals!I4)</f>
        <v>570</v>
      </c>
    </row>
    <row r="7" spans="1:28">
      <c r="A7" s="45" t="s">
        <v>10</v>
      </c>
      <c r="B7" s="46">
        <f>IFERROR(AVERAGE(Inputs!Q3:Q1001),0)</f>
        <v>7.102251125371116E-2</v>
      </c>
      <c r="V7" t="str">
        <f>Inputs!A6</f>
        <v>309 Birchwood Court</v>
      </c>
      <c r="W7" s="6">
        <f>Inputs!Q6</f>
        <v>8.4947368421052633E-2</v>
      </c>
      <c r="X7" s="6">
        <f>Inputs!O6</f>
        <v>0.58064516129032262</v>
      </c>
      <c r="Z7" t="str">
        <f>Actuals!A5</f>
        <v>309 Birchwood Court</v>
      </c>
      <c r="AA7" s="4">
        <f>Actuals!H5</f>
        <v>672.5</v>
      </c>
      <c r="AB7" s="4">
        <f>IF(Actuals!I5="No data",0,Actuals!I5)</f>
        <v>881.08199999999999</v>
      </c>
    </row>
    <row r="8" spans="1:28">
      <c r="A8" s="45" t="s">
        <v>11</v>
      </c>
      <c r="B8" s="46">
        <f>IFERROR(AVERAGE(Inputs!N3:N1001),0)</f>
        <v>0.41153636780562375</v>
      </c>
      <c r="V8" t="str">
        <f>Inputs!A7</f>
        <v>847 Sycamore Street</v>
      </c>
      <c r="W8" s="6">
        <f>Inputs!Q7</f>
        <v>8.1568627450980397E-2</v>
      </c>
      <c r="X8" s="6">
        <f>Inputs!O7</f>
        <v>0.51428571428571423</v>
      </c>
      <c r="Z8" t="str">
        <f>Actuals!A6</f>
        <v>847 Sycamore Street</v>
      </c>
      <c r="AA8" s="4">
        <f>Actuals!H6</f>
        <v>780</v>
      </c>
      <c r="AB8" s="4">
        <f>IF(Actuals!I6="No data",0,Actuals!I6)</f>
        <v>1067.23</v>
      </c>
    </row>
    <row r="9" spans="1:28">
      <c r="A9" s="45" t="s">
        <v>12</v>
      </c>
      <c r="B9" s="46">
        <f>IFERROR(AVERAGE(Inputs!O3:O1001),0)</f>
        <v>0.47162274250529157</v>
      </c>
      <c r="V9" t="str">
        <f>Inputs!A8</f>
        <v>215 Hollow Creek Road</v>
      </c>
      <c r="W9" s="6">
        <f>Inputs!Q8</f>
        <v>8.6068965517241386E-2</v>
      </c>
      <c r="X9" s="6">
        <f>Inputs!O8</f>
        <v>0.65454545454545454</v>
      </c>
      <c r="Z9" t="str">
        <f>Actuals!A7</f>
        <v>215 Hollow Creek Road</v>
      </c>
      <c r="AA9" s="4">
        <f>Actuals!H7</f>
        <v>780</v>
      </c>
      <c r="AB9" s="4">
        <f>IF(Actuals!I7="No data",0,Actuals!I7)</f>
        <v>1032.0519999999999</v>
      </c>
    </row>
    <row r="10" spans="1:28">
      <c r="V10" t="str">
        <f>Inputs!A9</f>
        <v>634 Pinecrest Boulevard</v>
      </c>
      <c r="W10" s="6">
        <f>Inputs!Q9</f>
        <v>0.11319727891156463</v>
      </c>
      <c r="X10" s="6">
        <f>Inputs!O9</f>
        <v>0.64</v>
      </c>
      <c r="Z10" t="str">
        <f>Actuals!A8</f>
        <v>634 Pinecrest Boulevard</v>
      </c>
      <c r="AA10" s="4">
        <f>Actuals!H8</f>
        <v>693.33333333333337</v>
      </c>
      <c r="AB10" s="4">
        <f>IF(Actuals!I8="No data",0,Actuals!I8)</f>
        <v>956.08600000000001</v>
      </c>
    </row>
    <row r="11" spans="1:28" ht="18.75">
      <c r="A11" s="9" t="s">
        <v>13</v>
      </c>
      <c r="V11" t="str">
        <f>Inputs!A10</f>
        <v>491 Maplewood Circle</v>
      </c>
      <c r="W11" s="6">
        <f>Inputs!Q10</f>
        <v>4.7570526315789473E-2</v>
      </c>
      <c r="X11" s="6">
        <f>Inputs!O10</f>
        <v>0.52500000000000002</v>
      </c>
      <c r="Z11" t="str">
        <f>Actuals!A9</f>
        <v>491 Maplewood Circle</v>
      </c>
      <c r="AA11" s="4">
        <f>Actuals!H9</f>
        <v>470.75</v>
      </c>
      <c r="AB11" s="4">
        <f>IF(Actuals!I9="No data",0,Actuals!I9)</f>
        <v>630</v>
      </c>
    </row>
    <row r="12" spans="1:28">
      <c r="A12" s="44"/>
      <c r="V12" t="str">
        <f>Inputs!A11</f>
        <v>1127 Cedarhill Drive</v>
      </c>
      <c r="W12" s="6">
        <f>Inputs!Q11</f>
        <v>7.6338514680483596E-2</v>
      </c>
      <c r="X12" s="6">
        <f>Inputs!O11</f>
        <v>0.7846153846153846</v>
      </c>
      <c r="Z12" t="str">
        <f>Actuals!A10</f>
        <v>1127 Cedarhill Drive</v>
      </c>
      <c r="AA12" s="4">
        <f>Actuals!H10</f>
        <v>736.66666666666663</v>
      </c>
      <c r="AB12" s="4">
        <f>IF(Actuals!I10="No data",0,Actuals!I10)</f>
        <v>844.14200000000005</v>
      </c>
    </row>
    <row r="13" spans="1:28">
      <c r="A13" s="45" t="s">
        <v>14</v>
      </c>
      <c r="B13" s="35">
        <f>IFERROR(SUMIF(Actuals!D2:D1000,"&lt;&gt;No data",Actuals!D2:D1000),0)</f>
        <v>1715</v>
      </c>
      <c r="V13" t="str">
        <f>Inputs!A12</f>
        <v>376 Walnut Grove Lane</v>
      </c>
      <c r="W13" s="6">
        <f>Inputs!Q12</f>
        <v>8.0436760691537768E-2</v>
      </c>
      <c r="X13" s="6">
        <f>Inputs!O12</f>
        <v>0.58285714285714285</v>
      </c>
      <c r="Z13" t="str">
        <f>Actuals!A11</f>
        <v>376 Walnut Grove Lane</v>
      </c>
      <c r="AA13" s="4">
        <f>Actuals!H11</f>
        <v>736.66666666666663</v>
      </c>
      <c r="AB13" s="4">
        <f>IF(Actuals!I11="No data",0,Actuals!I11)</f>
        <v>630</v>
      </c>
    </row>
    <row r="14" spans="1:28">
      <c r="A14" s="45" t="s">
        <v>15</v>
      </c>
      <c r="B14" s="35">
        <f>IFERROR(SUMIF(Actuals!G2:G1000,"&lt;&gt;No data",Actuals!G2:G1000),0)</f>
        <v>-594.97933333333333</v>
      </c>
      <c r="V14" t="str">
        <f>Inputs!A13</f>
        <v>823 Thornberry Street</v>
      </c>
      <c r="W14" s="6">
        <f>Inputs!Q13</f>
        <v>5.7655755015839492E-2</v>
      </c>
      <c r="X14" s="6">
        <f>Inputs!O13</f>
        <v>0.52500000000000002</v>
      </c>
      <c r="Z14" t="str">
        <f>Actuals!A12</f>
        <v>823 Thornberry Street</v>
      </c>
      <c r="AA14" s="4">
        <f>Actuals!H12</f>
        <v>455</v>
      </c>
      <c r="AB14" s="4">
        <f>IF(Actuals!I12="No data",0,Actuals!I12)</f>
        <v>1020</v>
      </c>
    </row>
    <row r="15" spans="1:28">
      <c r="A15" s="45" t="s">
        <v>16</v>
      </c>
      <c r="B15" s="35">
        <f>IFERROR(SUMIF(Actuals!J2:J1000,"&lt;&gt;No data",Actuals!J2:J1000),0)</f>
        <v>2371.2293333333332</v>
      </c>
      <c r="V15" t="str">
        <f>Inputs!A14</f>
        <v>Mid-range Test Prop</v>
      </c>
      <c r="W15" s="6">
        <f>Inputs!Q14</f>
        <v>1.6473663742551679E-2</v>
      </c>
      <c r="X15" s="6">
        <f>Inputs!O14</f>
        <v>9.3333333333333338E-2</v>
      </c>
      <c r="Z15" t="str">
        <f>Actuals!A13</f>
        <v>Mid-range Test Prop</v>
      </c>
      <c r="AA15" s="4">
        <f>Actuals!H13</f>
        <v>274.56106237586135</v>
      </c>
      <c r="AB15" s="4">
        <f>IF(Actuals!I13="No data",0,Actuals!I13)</f>
        <v>0</v>
      </c>
    </row>
    <row r="16" spans="1:28" ht="15" customHeight="1">
      <c r="A16" s="45" t="s">
        <v>17</v>
      </c>
      <c r="B16" s="22">
        <f>IFERROR(COUNTIF(Actuals!J2:J1000,"&lt;0"),0)</f>
        <v>1</v>
      </c>
      <c r="C16" s="67" t="s">
        <v>18</v>
      </c>
      <c r="D16" s="68"/>
      <c r="E16" s="68"/>
      <c r="F16" s="68"/>
      <c r="G16" s="68"/>
      <c r="V16" t="str">
        <f>Inputs!A15</f>
        <v>High-end Test Prop</v>
      </c>
      <c r="W16" s="6">
        <f>Inputs!Q15</f>
        <v>1.0261386452126403E-2</v>
      </c>
      <c r="X16" s="6">
        <f>Inputs!O15</f>
        <v>8.2500000000000004E-2</v>
      </c>
      <c r="Z16" t="str">
        <f>Actuals!A14</f>
        <v>High-end Test Prop</v>
      </c>
      <c r="AA16" s="4">
        <f>Actuals!H14</f>
        <v>342.04621507088007</v>
      </c>
      <c r="AB16" s="4">
        <f>IF(Actuals!I14="No data",0,Actuals!I14)</f>
        <v>0</v>
      </c>
    </row>
    <row r="17" spans="5:11">
      <c r="E17" s="6"/>
    </row>
    <row r="30" spans="5:11" ht="30.75">
      <c r="K30" s="11" t="s">
        <v>19</v>
      </c>
    </row>
    <row r="31" spans="5:11" ht="30.75">
      <c r="K31" s="11" t="s">
        <v>20</v>
      </c>
    </row>
  </sheetData>
  <mergeCells count="1">
    <mergeCell ref="C16:G16"/>
  </mergeCells>
  <conditionalFormatting sqref="B13 B15">
    <cfRule type="expression" dxfId="77" priority="6">
      <formula>B13&lt;0</formula>
    </cfRule>
  </conditionalFormatting>
  <conditionalFormatting sqref="B13 B15">
    <cfRule type="expression" dxfId="76" priority="5">
      <formula>B13&gt;=0</formula>
    </cfRule>
  </conditionalFormatting>
  <conditionalFormatting sqref="B14">
    <cfRule type="expression" dxfId="75" priority="4">
      <formula>B14&gt;=0</formula>
    </cfRule>
  </conditionalFormatting>
  <conditionalFormatting sqref="B14">
    <cfRule type="expression" dxfId="74" priority="3">
      <formula>B14&lt;0</formula>
    </cfRule>
  </conditionalFormatting>
  <conditionalFormatting sqref="B16">
    <cfRule type="expression" dxfId="73" priority="2">
      <formula>$B$16&lt;=0</formula>
    </cfRule>
  </conditionalFormatting>
  <conditionalFormatting sqref="B16">
    <cfRule type="expression" dxfId="72" priority="1">
      <formula>$B$16&gt;0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B9BF-2AA4-4F5B-8876-CDB32A097077}">
  <dimension ref="A1:J14"/>
  <sheetViews>
    <sheetView workbookViewId="0">
      <pane xSplit="1" ySplit="1" topLeftCell="B2" activePane="bottomRight" state="frozen"/>
      <selection pane="bottomRight" activeCell="A5" sqref="A5"/>
      <selection pane="bottomLeft"/>
      <selection pane="topRight"/>
    </sheetView>
  </sheetViews>
  <sheetFormatPr defaultRowHeight="15"/>
  <cols>
    <col min="1" max="1" width="21.28515625" customWidth="1"/>
    <col min="2" max="2" width="13.140625" bestFit="1" customWidth="1"/>
    <col min="3" max="3" width="36.5703125" bestFit="1" customWidth="1"/>
    <col min="4" max="4" width="15.28515625" bestFit="1" customWidth="1"/>
    <col min="5" max="5" width="17.5703125" bestFit="1" customWidth="1"/>
    <col min="6" max="6" width="36.5703125" bestFit="1" customWidth="1"/>
    <col min="7" max="7" width="18.5703125" bestFit="1" customWidth="1"/>
    <col min="8" max="9" width="12.7109375" bestFit="1" customWidth="1"/>
    <col min="10" max="10" width="14.5703125" bestFit="1" customWidth="1"/>
  </cols>
  <sheetData>
    <row r="1" spans="1:10">
      <c r="A1" s="28" t="s">
        <v>2</v>
      </c>
      <c r="B1" s="24" t="s">
        <v>21</v>
      </c>
      <c r="C1" s="24" t="s">
        <v>22</v>
      </c>
      <c r="D1" s="24" t="s">
        <v>14</v>
      </c>
      <c r="E1" s="24" t="s">
        <v>23</v>
      </c>
      <c r="F1" s="24" t="s">
        <v>24</v>
      </c>
      <c r="G1" s="24" t="s">
        <v>15</v>
      </c>
      <c r="H1" s="24" t="s">
        <v>5</v>
      </c>
      <c r="I1" s="24" t="s">
        <v>6</v>
      </c>
      <c r="J1" s="30" t="s">
        <v>16</v>
      </c>
    </row>
    <row r="2" spans="1:10">
      <c r="A2" s="41" t="str">
        <f>Inputs!A3</f>
        <v>412 Elmwood Drive</v>
      </c>
      <c r="B2" s="35">
        <f>IFERROR(Inputs!F3,"N/A")</f>
        <v>800</v>
      </c>
      <c r="C2" s="61">
        <f>IFERROR(IF(SUMIF('Rent Collections'!$B$2:$B$10007,A2,'Rent Collections'!$E$2:$E$10007)=0,"No data",SUMIF('Rent Collections'!$B$2:$B$10007,A2,'Rent Collections'!$E$2:$E$10007)/(COUNTIFS('Rent Collections'!$B$2:$B$10000,"1053 Ridgeway Avenue")-1)),"No data")</f>
        <v>960</v>
      </c>
      <c r="D2" s="36">
        <f t="shared" ref="D2:D14" si="0">IFERROR(IF(C2="No data","No data",C2-B2),"No data")</f>
        <v>160</v>
      </c>
      <c r="E2" s="35">
        <f>IFERROR(Inputs!H3,"N/A")</f>
        <v>66.666666666666671</v>
      </c>
      <c r="F2" s="61">
        <f>IFERROR(IF(SUMIF(Expenses!$B$2:$B$10002,A2,Expenses!$E$2:$E$10002)=0,0,SUMIF(Expenses!$B$2:$B$10002,A2,Expenses!$E$2:$E$10002)/(COUNTIFS('Rent Collections'!$B$2:$B$10000,"1053 Ridgeway Avenue")-1)),"0")</f>
        <v>75.195999999999998</v>
      </c>
      <c r="G2" s="37">
        <f t="shared" ref="G2:G14" si="1">IFERROR(IF(F2="No data","No data",F2-E2),"No data")</f>
        <v>8.5293333333333266</v>
      </c>
      <c r="H2" s="35">
        <f>IFERROR(Inputs!K3,"N/A")</f>
        <v>693.33333333333337</v>
      </c>
      <c r="I2" s="36">
        <f t="shared" ref="I2:I14" si="2">IFERROR(IF(OR(C2="No data",F2="No data"),"No data",C2-F2),"No data")</f>
        <v>884.80399999999997</v>
      </c>
      <c r="J2" s="42">
        <f t="shared" ref="J2:J14" si="3">IFERROR(IF(I2="No data","No data",I2-H2),"No data")</f>
        <v>191.4706666666666</v>
      </c>
    </row>
    <row r="3" spans="1:10">
      <c r="A3" s="41" t="str">
        <f>Inputs!A4</f>
        <v>728 Chestnut Lane</v>
      </c>
      <c r="B3" s="35">
        <f>IFERROR(Inputs!F4,"N/A")</f>
        <v>900</v>
      </c>
      <c r="C3" s="61">
        <f>IFERROR(IF(SUMIF('Rent Collections'!$B$2:$B$10007,A3,'Rent Collections'!$E$2:$E$10007)=0,"No data",SUMIF('Rent Collections'!$B$2:$B$10007,A3,'Rent Collections'!$E$2:$E$10007)/(COUNTIFS('Rent Collections'!$B$2:$B$10000,"1053 Ridgeway Avenue")-1)),"No data")</f>
        <v>1080</v>
      </c>
      <c r="D3" s="36">
        <f t="shared" si="0"/>
        <v>180</v>
      </c>
      <c r="E3" s="35">
        <f>IFERROR(Inputs!H4,"N/A")</f>
        <v>75</v>
      </c>
      <c r="F3" s="61">
        <f>IFERROR(IF(SUMIF(Expenses!$B$2:$B$10002,A3,Expenses!$E$2:$E$10002)=0,0,SUMIF(Expenses!$B$2:$B$10002,A3,Expenses!$E$2:$E$10002)/(COUNTIFS('Rent Collections'!$B$2:$B$10000,"1053 Ridgeway Avenue")-1)),"0")</f>
        <v>0</v>
      </c>
      <c r="G3" s="37">
        <f t="shared" si="1"/>
        <v>-75</v>
      </c>
      <c r="H3" s="35">
        <f>IFERROR(Inputs!K4,"N/A")</f>
        <v>780</v>
      </c>
      <c r="I3" s="36">
        <f t="shared" si="2"/>
        <v>1080</v>
      </c>
      <c r="J3" s="42">
        <f t="shared" si="3"/>
        <v>300</v>
      </c>
    </row>
    <row r="4" spans="1:10">
      <c r="A4" s="41" t="str">
        <f>Inputs!A5</f>
        <v>1053 Ridgeway Avenue</v>
      </c>
      <c r="B4" s="35">
        <f>IFERROR(Inputs!F5,"N/A")</f>
        <v>475</v>
      </c>
      <c r="C4" s="61">
        <f>IFERROR(IF(SUMIF('Rent Collections'!$B$2:$B$10007,A4,'Rent Collections'!$E$2:$E$10007)=0,"No data",SUMIF('Rent Collections'!$B$2:$B$10007,A4,'Rent Collections'!$E$2:$E$10007)/(COUNTIFS('Rent Collections'!$B$2:$B$10000,"1053 Ridgeway Avenue")-1)),"No data")</f>
        <v>570</v>
      </c>
      <c r="D4" s="36">
        <f t="shared" si="0"/>
        <v>95</v>
      </c>
      <c r="E4" s="35">
        <f>IFERROR(Inputs!H5,"N/A")</f>
        <v>39.583333333333336</v>
      </c>
      <c r="F4" s="61">
        <f>IFERROR(IF(SUMIF(Expenses!$B$2:$B$10002,A4,Expenses!$E$2:$E$10002)=0,0,SUMIF(Expenses!$B$2:$B$10002,A4,Expenses!$E$2:$E$10002)/(COUNTIFS('Rent Collections'!$B$2:$B$10000,"1053 Ridgeway Avenue")-1)),"0")</f>
        <v>0</v>
      </c>
      <c r="G4" s="37">
        <f t="shared" si="1"/>
        <v>-39.583333333333336</v>
      </c>
      <c r="H4" s="35">
        <f>IFERROR(Inputs!K5,"N/A")</f>
        <v>425.91666666666669</v>
      </c>
      <c r="I4" s="36">
        <f t="shared" si="2"/>
        <v>570</v>
      </c>
      <c r="J4" s="42">
        <f t="shared" si="3"/>
        <v>144.08333333333331</v>
      </c>
    </row>
    <row r="5" spans="1:10">
      <c r="A5" s="41" t="str">
        <f>Inputs!A6</f>
        <v>309 Birchwood Court</v>
      </c>
      <c r="B5" s="35">
        <f>IFERROR(Inputs!F6,"N/A")</f>
        <v>750</v>
      </c>
      <c r="C5" s="61">
        <f>IFERROR(IF(SUMIF('Rent Collections'!$B$2:$B$10007,A5,'Rent Collections'!$E$2:$E$10007)=0,"No data",SUMIF('Rent Collections'!$B$2:$B$10007,A5,'Rent Collections'!$E$2:$E$10007)/(COUNTIFS('Rent Collections'!$B$2:$B$10000,"1053 Ridgeway Avenue")-1)),"No data")</f>
        <v>900</v>
      </c>
      <c r="D5" s="36">
        <f t="shared" si="0"/>
        <v>150</v>
      </c>
      <c r="E5" s="35">
        <f>IFERROR(Inputs!H6,"N/A")</f>
        <v>62.5</v>
      </c>
      <c r="F5" s="61">
        <f>IFERROR(IF(SUMIF(Expenses!$B$2:$B$10002,A5,Expenses!$E$2:$E$10002)=0,0,SUMIF(Expenses!$B$2:$B$10002,A5,Expenses!$E$2:$E$10002)/(COUNTIFS('Rent Collections'!$B$2:$B$10000,"1053 Ridgeway Avenue")-1)),"0")</f>
        <v>18.917999999999999</v>
      </c>
      <c r="G5" s="37">
        <f t="shared" si="1"/>
        <v>-43.582000000000001</v>
      </c>
      <c r="H5" s="35">
        <f>IFERROR(Inputs!K6,"N/A")</f>
        <v>672.5</v>
      </c>
      <c r="I5" s="36">
        <f t="shared" si="2"/>
        <v>881.08199999999999</v>
      </c>
      <c r="J5" s="42">
        <f t="shared" si="3"/>
        <v>208.58199999999999</v>
      </c>
    </row>
    <row r="6" spans="1:10">
      <c r="A6" s="41" t="str">
        <f>Inputs!A7</f>
        <v>847 Sycamore Street</v>
      </c>
      <c r="B6" s="35">
        <f>IFERROR(Inputs!F7,"N/A")</f>
        <v>900</v>
      </c>
      <c r="C6" s="61">
        <f>IFERROR(IF(SUMIF('Rent Collections'!$B$2:$B$10007,A6,'Rent Collections'!$E$2:$E$10007)=0,"No data",SUMIF('Rent Collections'!$B$2:$B$10007,A6,'Rent Collections'!$E$2:$E$10007)/(COUNTIFS('Rent Collections'!$B$2:$B$10000,"1053 Ridgeway Avenue")-1)),"No data")</f>
        <v>1105</v>
      </c>
      <c r="D6" s="36">
        <f t="shared" si="0"/>
        <v>205</v>
      </c>
      <c r="E6" s="35">
        <f>IFERROR(Inputs!H7,"N/A")</f>
        <v>75</v>
      </c>
      <c r="F6" s="61">
        <f>IFERROR(IF(SUMIF(Expenses!$B$2:$B$10002,A6,Expenses!$E$2:$E$10002)=0,0,SUMIF(Expenses!$B$2:$B$10002,A6,Expenses!$E$2:$E$10002)/(COUNTIFS('Rent Collections'!$B$2:$B$10000,"1053 Ridgeway Avenue")-1)),"0")</f>
        <v>37.769999999999982</v>
      </c>
      <c r="G6" s="37">
        <f t="shared" si="1"/>
        <v>-37.230000000000018</v>
      </c>
      <c r="H6" s="35">
        <f>IFERROR(Inputs!K7,"N/A")</f>
        <v>780</v>
      </c>
      <c r="I6" s="36">
        <f t="shared" si="2"/>
        <v>1067.23</v>
      </c>
      <c r="J6" s="42">
        <f>IFERROR(IF(I6="No data","No data",I6-H6),"No data")</f>
        <v>287.23</v>
      </c>
    </row>
    <row r="7" spans="1:10">
      <c r="A7" s="41" t="str">
        <f>Inputs!A8</f>
        <v>215 Hollow Creek Road</v>
      </c>
      <c r="B7" s="35">
        <f>IFERROR(Inputs!F8,"N/A")</f>
        <v>900</v>
      </c>
      <c r="C7" s="61">
        <f>IFERROR(IF(SUMIF('Rent Collections'!$B$2:$B$10007,A7,'Rent Collections'!$E$2:$E$10007)=0,"No data",SUMIF('Rent Collections'!$B$2:$B$10007,A7,'Rent Collections'!$E$2:$E$10007)/(COUNTIFS('Rent Collections'!$B$2:$B$10000,"1053 Ridgeway Avenue")-1)),"No data")</f>
        <v>1115</v>
      </c>
      <c r="D7" s="36">
        <f t="shared" si="0"/>
        <v>215</v>
      </c>
      <c r="E7" s="35">
        <f>IFERROR(Inputs!H8,"N/A")</f>
        <v>75</v>
      </c>
      <c r="F7" s="61">
        <f>IFERROR(IF(SUMIF(Expenses!$B$2:$B$10002,A7,Expenses!$E$2:$E$10002)=0,0,SUMIF(Expenses!$B$2:$B$10002,A7,Expenses!$E$2:$E$10002)/(COUNTIFS('Rent Collections'!$B$2:$B$10000,"1053 Ridgeway Avenue")-1)),"0")</f>
        <v>82.948000000000008</v>
      </c>
      <c r="G7" s="37">
        <f t="shared" si="1"/>
        <v>7.9480000000000075</v>
      </c>
      <c r="H7" s="35">
        <f>IFERROR(Inputs!K8,"N/A")</f>
        <v>780</v>
      </c>
      <c r="I7" s="36">
        <f t="shared" si="2"/>
        <v>1032.0519999999999</v>
      </c>
      <c r="J7" s="42">
        <f t="shared" si="3"/>
        <v>252.05199999999991</v>
      </c>
    </row>
    <row r="8" spans="1:10">
      <c r="A8" s="41" t="str">
        <f>Inputs!A9</f>
        <v>634 Pinecrest Boulevard</v>
      </c>
      <c r="B8" s="35">
        <f>IFERROR(Inputs!F9,"N/A")</f>
        <v>800</v>
      </c>
      <c r="C8" s="61">
        <f>IFERROR(IF(SUMIF('Rent Collections'!$B$2:$B$10007,A8,'Rent Collections'!$E$2:$E$10007)=0,"No data",SUMIF('Rent Collections'!$B$2:$B$10007,A8,'Rent Collections'!$E$2:$E$10007)/(COUNTIFS('Rent Collections'!$B$2:$B$10000,"1053 Ridgeway Avenue")-1)),"No data")</f>
        <v>960</v>
      </c>
      <c r="D8" s="36">
        <f>IFERROR(IF(C8="No data","No data",C8-B8),"No data")</f>
        <v>160</v>
      </c>
      <c r="E8" s="35">
        <f>IFERROR(Inputs!H9,"N/A")</f>
        <v>66.666666666666671</v>
      </c>
      <c r="F8" s="61">
        <f>IFERROR(IF(SUMIF(Expenses!$B$2:$B$10002,A8,Expenses!$E$2:$E$10002)=0,0,SUMIF(Expenses!$B$2:$B$10002,A8,Expenses!$E$2:$E$10002)/(COUNTIFS('Rent Collections'!$B$2:$B$10000,"1053 Ridgeway Avenue")-1)),"0")</f>
        <v>3.9140000000000001</v>
      </c>
      <c r="G8" s="37">
        <f t="shared" si="1"/>
        <v>-62.75266666666667</v>
      </c>
      <c r="H8" s="35">
        <f>IFERROR(Inputs!K9,"N/A")</f>
        <v>693.33333333333337</v>
      </c>
      <c r="I8" s="36">
        <f>IFERROR(IF(OR(C8="No data",F8="No data"),"No data",C8-F8),"No data")</f>
        <v>956.08600000000001</v>
      </c>
      <c r="J8" s="42">
        <f t="shared" si="3"/>
        <v>262.75266666666664</v>
      </c>
    </row>
    <row r="9" spans="1:10">
      <c r="A9" s="41" t="str">
        <f>Inputs!A10</f>
        <v>491 Maplewood Circle</v>
      </c>
      <c r="B9" s="35">
        <f>IFERROR(Inputs!F10,"N/A")</f>
        <v>525</v>
      </c>
      <c r="C9" s="61">
        <f>IFERROR(IF(SUMIF('Rent Collections'!$B$2:$B$10007,A9,'Rent Collections'!$E$2:$E$10007)=0,"No data",SUMIF('Rent Collections'!$B$2:$B$10007,A9,'Rent Collections'!$E$2:$E$10007)/(COUNTIFS('Rent Collections'!$B$2:$B$10000,"1053 Ridgeway Avenue")-1)),"No data")</f>
        <v>630</v>
      </c>
      <c r="D9" s="36">
        <f t="shared" si="0"/>
        <v>105</v>
      </c>
      <c r="E9" s="35">
        <f>IFERROR(Inputs!H10,"N/A")</f>
        <v>43.75</v>
      </c>
      <c r="F9" s="61">
        <f>IFERROR(IF(SUMIF(Expenses!$B$2:$B$10002,A9,Expenses!$E$2:$E$10002)=0,0,SUMIF(Expenses!$B$2:$B$10002,A9,Expenses!$E$2:$E$10002)/(COUNTIFS('Rent Collections'!$B$2:$B$10000,"1053 Ridgeway Avenue")-1)),"0")</f>
        <v>0</v>
      </c>
      <c r="G9" s="37">
        <f>IFERROR(IF(F9="No data","No data",F9-E9),"No data")</f>
        <v>-43.75</v>
      </c>
      <c r="H9" s="35">
        <f>IFERROR(Inputs!K10,"N/A")</f>
        <v>470.75</v>
      </c>
      <c r="I9" s="36">
        <f t="shared" si="2"/>
        <v>630</v>
      </c>
      <c r="J9" s="42">
        <f t="shared" si="3"/>
        <v>159.25</v>
      </c>
    </row>
    <row r="10" spans="1:10">
      <c r="A10" s="41" t="str">
        <f>Inputs!A11</f>
        <v>1127 Cedarhill Drive</v>
      </c>
      <c r="B10" s="35">
        <f>IFERROR(Inputs!F11,"N/A")</f>
        <v>850</v>
      </c>
      <c r="C10" s="61">
        <f>IFERROR(IF(SUMIF('Rent Collections'!$B$2:$B$10007,A10,'Rent Collections'!$E$2:$E$10007)=0,"No data",SUMIF('Rent Collections'!$B$2:$B$10007,A10,'Rent Collections'!$E$2:$E$10007)/(COUNTIFS('Rent Collections'!$B$2:$B$10000,"1053 Ridgeway Avenue")-1)),"No data")</f>
        <v>1020</v>
      </c>
      <c r="D10" s="36">
        <f t="shared" si="0"/>
        <v>170</v>
      </c>
      <c r="E10" s="35">
        <f>IFERROR(Inputs!H11,"N/A")</f>
        <v>70.833333333333329</v>
      </c>
      <c r="F10" s="61">
        <f>IFERROR(IF(SUMIF(Expenses!$B$2:$B$10002,A10,Expenses!$E$2:$E$10002)=0,0,SUMIF(Expenses!$B$2:$B$10002,A10,Expenses!$E$2:$E$10002)/(COUNTIFS('Rent Collections'!$B$2:$B$10000,"1053 Ridgeway Avenue")-1)),"0")</f>
        <v>175.858</v>
      </c>
      <c r="G10" s="37">
        <f t="shared" si="1"/>
        <v>105.02466666666668</v>
      </c>
      <c r="H10" s="35">
        <f>IFERROR(Inputs!K11,"N/A")</f>
        <v>736.66666666666663</v>
      </c>
      <c r="I10" s="36">
        <f t="shared" si="2"/>
        <v>844.14200000000005</v>
      </c>
      <c r="J10" s="42">
        <f t="shared" si="3"/>
        <v>107.47533333333342</v>
      </c>
    </row>
    <row r="11" spans="1:10">
      <c r="A11" s="41" t="str">
        <f>Inputs!A12</f>
        <v>376 Walnut Grove Lane</v>
      </c>
      <c r="B11" s="35">
        <f>IFERROR(Inputs!F12,"N/A")</f>
        <v>850</v>
      </c>
      <c r="C11" s="61">
        <f>IFERROR(IF(SUMIF('Rent Collections'!$B$2:$B$10007,A11,'Rent Collections'!$E$2:$E$10007)=0,"No data",SUMIF('Rent Collections'!$B$2:$B$10007,A11,'Rent Collections'!$E$2:$E$10007)/(COUNTIFS('Rent Collections'!$B$2:$B$10000,"1053 Ridgeway Avenue")-1)),"No data")</f>
        <v>630</v>
      </c>
      <c r="D11" s="36">
        <f t="shared" si="0"/>
        <v>-220</v>
      </c>
      <c r="E11" s="35">
        <f>IFERROR(Inputs!H12,"N/A")</f>
        <v>70.833333333333329</v>
      </c>
      <c r="F11" s="61">
        <f>IFERROR(IF(SUMIF(Expenses!$B$2:$B$10002,A11,Expenses!$E$2:$E$10002)=0,0,SUMIF(Expenses!$B$2:$B$10002,A11,Expenses!$E$2:$E$10002)/(COUNTIFS('Rent Collections'!$B$2:$B$10000,"1053 Ridgeway Avenue")-1)),"0")</f>
        <v>0</v>
      </c>
      <c r="G11" s="37">
        <f t="shared" si="1"/>
        <v>-70.833333333333329</v>
      </c>
      <c r="H11" s="35">
        <f>IFERROR(Inputs!K12,"N/A")</f>
        <v>736.66666666666663</v>
      </c>
      <c r="I11" s="36">
        <f t="shared" si="2"/>
        <v>630</v>
      </c>
      <c r="J11" s="42">
        <f t="shared" si="3"/>
        <v>-106.66666666666663</v>
      </c>
    </row>
    <row r="12" spans="1:10">
      <c r="A12" s="41" t="str">
        <f>Inputs!A13</f>
        <v>823 Thornberry Street</v>
      </c>
      <c r="B12" s="35">
        <f>IFERROR(Inputs!F13,"N/A")</f>
        <v>525</v>
      </c>
      <c r="C12" s="61">
        <f>IFERROR(IF(SUMIF('Rent Collections'!$B$2:$B$10007,A12,'Rent Collections'!$E$2:$E$10007)=0,"No data",SUMIF('Rent Collections'!$B$2:$B$10007,A12,'Rent Collections'!$E$2:$E$10007)/(COUNTIFS('Rent Collections'!$B$2:$B$10000,"1053 Ridgeway Avenue")-1)),"No data")</f>
        <v>1020</v>
      </c>
      <c r="D12" s="36">
        <f t="shared" si="0"/>
        <v>495</v>
      </c>
      <c r="E12" s="35">
        <f>IFERROR(Inputs!H13,"N/A")</f>
        <v>43.75</v>
      </c>
      <c r="F12" s="61">
        <f>IFERROR(IF(SUMIF(Expenses!$B$2:$B$10002,A12,Expenses!$E$2:$E$10002)=0,0,SUMIF(Expenses!$B$2:$B$10002,A12,Expenses!$E$2:$E$10002)/(COUNTIFS('Rent Collections'!$B$2:$B$10000,"1053 Ridgeway Avenue")-1)),"0")</f>
        <v>0</v>
      </c>
      <c r="G12" s="37">
        <f t="shared" si="1"/>
        <v>-43.75</v>
      </c>
      <c r="H12" s="35">
        <f>IFERROR(Inputs!K13,"N/A")</f>
        <v>455</v>
      </c>
      <c r="I12" s="36">
        <f t="shared" si="2"/>
        <v>1020</v>
      </c>
      <c r="J12" s="42">
        <f t="shared" si="3"/>
        <v>565</v>
      </c>
    </row>
    <row r="13" spans="1:10">
      <c r="A13" s="41" t="str">
        <f>Inputs!A14</f>
        <v>Mid-range Test Prop</v>
      </c>
      <c r="B13" s="35">
        <f>IFERROR(Inputs!F14,"N/A")</f>
        <v>1400</v>
      </c>
      <c r="C13" s="61" t="str">
        <f>IFERROR(IF(SUMIF('Rent Collections'!$B$2:$B$10007,A13,'Rent Collections'!$E$2:$E$10007)=0,"No data",SUMIF('Rent Collections'!$B$2:$B$10007,A13,'Rent Collections'!$E$2:$E$10007)/(COUNTIFS('Rent Collections'!$B$2:$B$10000,"1053 Ridgeway Avenue")-1)),"No data")</f>
        <v>No data</v>
      </c>
      <c r="D13" s="36" t="str">
        <f t="shared" si="0"/>
        <v>No data</v>
      </c>
      <c r="E13" s="35">
        <f>IFERROR(Inputs!H14,"N/A")</f>
        <v>116.66666666666667</v>
      </c>
      <c r="F13" s="61">
        <f>IFERROR(IF(SUMIF(Expenses!$B$2:$B$10002,A13,Expenses!$E$2:$E$10002)=0,0,SUMIF(Expenses!$B$2:$B$10002,A13,Expenses!$E$2:$E$10002)/(COUNTIFS('Rent Collections'!$B$2:$B$10000,"1053 Ridgeway Avenue")-1)),"0")</f>
        <v>0</v>
      </c>
      <c r="G13" s="37">
        <f t="shared" si="1"/>
        <v>-116.66666666666667</v>
      </c>
      <c r="H13" s="35">
        <f>IFERROR(Inputs!K14,"N/A")</f>
        <v>274.56106237586135</v>
      </c>
      <c r="I13" s="36" t="str">
        <f t="shared" si="2"/>
        <v>No data</v>
      </c>
      <c r="J13" s="42" t="str">
        <f t="shared" si="3"/>
        <v>No data</v>
      </c>
    </row>
    <row r="14" spans="1:10">
      <c r="A14" s="10" t="str">
        <f>Inputs!A15</f>
        <v>High-end Test Prop</v>
      </c>
      <c r="B14" s="38">
        <f>IFERROR(Inputs!F15,"N/A")</f>
        <v>2200</v>
      </c>
      <c r="C14" s="61" t="str">
        <f>IFERROR(IF(SUMIF('Rent Collections'!$B$2:$B$10007,A14,'Rent Collections'!$E$2:$E$10007)=0,"No data",SUMIF('Rent Collections'!$B$2:$B$10007,A14,'Rent Collections'!$E$2:$E$10007)/(COUNTIFS('Rent Collections'!$B$2:$B$10000,"1053 Ridgeway Avenue")-1)),"No data")</f>
        <v>No data</v>
      </c>
      <c r="D14" s="39" t="str">
        <f t="shared" si="0"/>
        <v>No data</v>
      </c>
      <c r="E14" s="38">
        <f>IFERROR(Inputs!H15,"N/A")</f>
        <v>183.33333333333334</v>
      </c>
      <c r="F14" s="62">
        <f>IFERROR(IF(SUMIF(Expenses!$B$2:$B$10002,A14,Expenses!$E$2:$E$10002)=0,0,SUMIF(Expenses!$B$2:$B$10002,A14,Expenses!$E$2:$E$10002)/(COUNTIFS('Rent Collections'!$B$2:$B$10000,"1053 Ridgeway Avenue")-1)),"0")</f>
        <v>0</v>
      </c>
      <c r="G14" s="40">
        <f t="shared" si="1"/>
        <v>-183.33333333333334</v>
      </c>
      <c r="H14" s="38">
        <f>IFERROR(Inputs!K15,"N/A")</f>
        <v>342.04621507088007</v>
      </c>
      <c r="I14" s="39" t="str">
        <f t="shared" si="2"/>
        <v>No data</v>
      </c>
      <c r="J14" s="43" t="str">
        <f t="shared" si="3"/>
        <v>No data</v>
      </c>
    </row>
  </sheetData>
  <sheetProtection sheet="1" objects="1" scenarios="1"/>
  <conditionalFormatting sqref="D2:D14">
    <cfRule type="expression" dxfId="71" priority="6">
      <formula>AND(D2&lt;&gt;"No data",D2&lt;0)</formula>
    </cfRule>
  </conditionalFormatting>
  <conditionalFormatting sqref="D2:D14">
    <cfRule type="expression" dxfId="70" priority="5">
      <formula>AND(D2&lt;&gt;"No data",D2&gt;=0)</formula>
    </cfRule>
  </conditionalFormatting>
  <conditionalFormatting sqref="G2:G14">
    <cfRule type="expression" dxfId="69" priority="4">
      <formula>AND(G2&lt;&gt;"No data",G2&gt;0)</formula>
    </cfRule>
  </conditionalFormatting>
  <conditionalFormatting sqref="G2:G14">
    <cfRule type="expression" dxfId="68" priority="3">
      <formula>AND(G2&lt;&gt;"No data",G2&lt;=0)</formula>
    </cfRule>
  </conditionalFormatting>
  <conditionalFormatting sqref="J2:J14">
    <cfRule type="expression" dxfId="67" priority="2">
      <formula>AND(D2&lt;&gt;"No data",D2&gt;=0)</formula>
    </cfRule>
  </conditionalFormatting>
  <conditionalFormatting sqref="J2:J14">
    <cfRule type="expression" dxfId="66" priority="1">
      <formula>AND(D2&lt;&gt;"No data",D2&lt;0)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8452-280F-4333-B8F8-0B932CD793EC}">
  <dimension ref="A1:Q23"/>
  <sheetViews>
    <sheetView workbookViewId="0">
      <pane xSplit="1" ySplit="2" topLeftCell="B3" activePane="bottomRight" state="frozen"/>
      <selection pane="bottomRight" activeCell="D22" sqref="D22"/>
      <selection pane="bottomLeft"/>
      <selection pane="topRight"/>
    </sheetView>
  </sheetViews>
  <sheetFormatPr defaultRowHeight="15"/>
  <cols>
    <col min="1" max="1" width="36.5703125" style="5" bestFit="1" customWidth="1"/>
    <col min="2" max="2" width="16.140625" style="5" bestFit="1" customWidth="1"/>
    <col min="3" max="3" width="20.140625" style="5" bestFit="1" customWidth="1"/>
    <col min="4" max="4" width="18.85546875" style="5" bestFit="1" customWidth="1"/>
    <col min="5" max="5" width="17.5703125" style="5" bestFit="1" customWidth="1"/>
    <col min="6" max="6" width="15" style="5" bestFit="1" customWidth="1"/>
    <col min="7" max="7" width="18" style="5" bestFit="1" customWidth="1"/>
    <col min="8" max="8" width="21.7109375" style="5" customWidth="1"/>
    <col min="9" max="9" width="23" style="5" bestFit="1" customWidth="1"/>
    <col min="10" max="10" width="20" bestFit="1" customWidth="1"/>
    <col min="11" max="11" width="14.7109375" bestFit="1" customWidth="1"/>
    <col min="12" max="12" width="13.42578125" bestFit="1" customWidth="1"/>
    <col min="13" max="13" width="19.5703125" bestFit="1" customWidth="1"/>
    <col min="14" max="14" width="21" bestFit="1" customWidth="1"/>
    <col min="15" max="15" width="13" bestFit="1" customWidth="1"/>
    <col min="16" max="16" width="30.7109375" bestFit="1" customWidth="1"/>
    <col min="17" max="17" width="17.5703125" bestFit="1" customWidth="1"/>
    <col min="19" max="19" width="19.28515625" bestFit="1" customWidth="1"/>
  </cols>
  <sheetData>
    <row r="1" spans="1:17" ht="18.75">
      <c r="A1" s="8" t="s">
        <v>25</v>
      </c>
      <c r="J1" s="4"/>
    </row>
    <row r="2" spans="1:17" s="1" customFormat="1">
      <c r="A2" s="1" t="s">
        <v>26</v>
      </c>
      <c r="B2" s="3" t="s">
        <v>27</v>
      </c>
      <c r="C2" s="2" t="s">
        <v>28</v>
      </c>
      <c r="D2" s="1" t="s">
        <v>29</v>
      </c>
      <c r="E2" s="2" t="s">
        <v>30</v>
      </c>
      <c r="F2" s="3" t="s">
        <v>31</v>
      </c>
      <c r="G2" s="2" t="s">
        <v>32</v>
      </c>
      <c r="H2" s="3" t="s">
        <v>33</v>
      </c>
      <c r="I2" s="3" t="s">
        <v>34</v>
      </c>
      <c r="J2" s="1" t="s">
        <v>35</v>
      </c>
      <c r="K2" s="1" t="s">
        <v>36</v>
      </c>
      <c r="L2" s="1" t="s">
        <v>37</v>
      </c>
      <c r="M2" s="2" t="s">
        <v>38</v>
      </c>
      <c r="N2" s="7" t="s">
        <v>39</v>
      </c>
      <c r="O2" s="1" t="s">
        <v>4</v>
      </c>
      <c r="P2" s="3" t="s">
        <v>40</v>
      </c>
      <c r="Q2" s="2" t="s">
        <v>3</v>
      </c>
    </row>
    <row r="3" spans="1:17" ht="15" customHeight="1">
      <c r="A3" s="12" t="s">
        <v>41</v>
      </c>
      <c r="B3" s="13">
        <v>18000</v>
      </c>
      <c r="C3" s="14">
        <v>1</v>
      </c>
      <c r="D3" s="12">
        <v>0</v>
      </c>
      <c r="E3" s="14">
        <v>0</v>
      </c>
      <c r="F3" s="13">
        <v>800</v>
      </c>
      <c r="G3" s="14">
        <v>0.05</v>
      </c>
      <c r="H3" s="33">
        <f t="shared" ref="H3:H15" si="0">F3/12</f>
        <v>66.666666666666671</v>
      </c>
      <c r="I3" s="15">
        <f t="shared" ref="I3:I15" si="1">IFERROR(F3*(1-G3),0)</f>
        <v>760</v>
      </c>
      <c r="J3" s="15">
        <f t="shared" ref="J3:J15" si="2">IFERROR(IF(D3=0,0,PMT(E3/12,D3*12,-(B3*(1-C3)))),0)</f>
        <v>0</v>
      </c>
      <c r="K3" s="15">
        <f t="shared" ref="K3:K15" si="3">IFERROR(I3-J3-H3,0)</f>
        <v>693.33333333333337</v>
      </c>
      <c r="L3" s="15">
        <f t="shared" ref="L3:L15" si="4">IFERROR(K3*12,0)</f>
        <v>8320</v>
      </c>
      <c r="M3" s="16">
        <f t="shared" ref="M3:M15" si="5">IFERROR(L3/B3,0)</f>
        <v>0.4622222222222222</v>
      </c>
      <c r="N3" s="16">
        <f t="shared" ref="N3:N15" si="6">IFERROR(L3/(B3*C3),0)</f>
        <v>0.4622222222222222</v>
      </c>
      <c r="O3" s="16">
        <f t="shared" ref="O3:O15" si="7">IFERROR((F3*12)/B3,0)</f>
        <v>0.53333333333333333</v>
      </c>
      <c r="P3" s="13">
        <v>87000</v>
      </c>
      <c r="Q3" s="16">
        <f t="shared" ref="Q3:Q15" si="8">IFERROR(L3/P3,0)</f>
        <v>9.5632183908045981E-2</v>
      </c>
    </row>
    <row r="4" spans="1:17">
      <c r="A4" s="12" t="s">
        <v>42</v>
      </c>
      <c r="B4" s="13">
        <v>19000</v>
      </c>
      <c r="C4" s="14">
        <v>1</v>
      </c>
      <c r="D4" s="12">
        <v>0</v>
      </c>
      <c r="E4" s="14">
        <v>0</v>
      </c>
      <c r="F4" s="13">
        <v>900</v>
      </c>
      <c r="G4" s="14">
        <v>0.05</v>
      </c>
      <c r="H4" s="33">
        <f t="shared" si="0"/>
        <v>75</v>
      </c>
      <c r="I4" s="15">
        <f t="shared" si="1"/>
        <v>855</v>
      </c>
      <c r="J4" s="15">
        <f t="shared" si="2"/>
        <v>0</v>
      </c>
      <c r="K4" s="15">
        <f t="shared" si="3"/>
        <v>780</v>
      </c>
      <c r="L4" s="15">
        <f t="shared" si="4"/>
        <v>9360</v>
      </c>
      <c r="M4" s="16">
        <f t="shared" si="5"/>
        <v>0.49263157894736842</v>
      </c>
      <c r="N4" s="16">
        <f t="shared" si="6"/>
        <v>0.49263157894736842</v>
      </c>
      <c r="O4" s="16">
        <f t="shared" si="7"/>
        <v>0.56842105263157894</v>
      </c>
      <c r="P4" s="13">
        <v>93000</v>
      </c>
      <c r="Q4" s="16">
        <f t="shared" si="8"/>
        <v>0.10064516129032258</v>
      </c>
    </row>
    <row r="5" spans="1:17">
      <c r="A5" s="65" t="s">
        <v>43</v>
      </c>
      <c r="B5" s="13">
        <v>11000</v>
      </c>
      <c r="C5" s="14">
        <v>1</v>
      </c>
      <c r="D5" s="12">
        <v>0</v>
      </c>
      <c r="E5" s="14">
        <v>0</v>
      </c>
      <c r="F5" s="13">
        <v>475</v>
      </c>
      <c r="G5" s="14">
        <v>0.02</v>
      </c>
      <c r="H5" s="33">
        <f t="shared" si="0"/>
        <v>39.583333333333336</v>
      </c>
      <c r="I5" s="15">
        <f t="shared" si="1"/>
        <v>465.5</v>
      </c>
      <c r="J5" s="15">
        <f t="shared" si="2"/>
        <v>0</v>
      </c>
      <c r="K5" s="15">
        <f t="shared" si="3"/>
        <v>425.91666666666669</v>
      </c>
      <c r="L5" s="15">
        <f t="shared" si="4"/>
        <v>5111</v>
      </c>
      <c r="M5" s="16">
        <f t="shared" si="5"/>
        <v>0.46463636363636363</v>
      </c>
      <c r="N5" s="16">
        <f t="shared" si="6"/>
        <v>0.46463636363636363</v>
      </c>
      <c r="O5" s="16">
        <f t="shared" si="7"/>
        <v>0.51818181818181819</v>
      </c>
      <c r="P5" s="13">
        <v>70500</v>
      </c>
      <c r="Q5" s="16">
        <f t="shared" si="8"/>
        <v>7.2496453900709218E-2</v>
      </c>
    </row>
    <row r="6" spans="1:17">
      <c r="A6" s="65" t="s">
        <v>44</v>
      </c>
      <c r="B6" s="13">
        <v>15500</v>
      </c>
      <c r="C6" s="14">
        <v>1</v>
      </c>
      <c r="D6" s="12">
        <v>0</v>
      </c>
      <c r="E6" s="14">
        <v>0</v>
      </c>
      <c r="F6" s="13">
        <v>750</v>
      </c>
      <c r="G6" s="14">
        <v>0.02</v>
      </c>
      <c r="H6" s="33">
        <f t="shared" si="0"/>
        <v>62.5</v>
      </c>
      <c r="I6" s="15">
        <f t="shared" si="1"/>
        <v>735</v>
      </c>
      <c r="J6" s="15">
        <f t="shared" si="2"/>
        <v>0</v>
      </c>
      <c r="K6" s="15">
        <f t="shared" si="3"/>
        <v>672.5</v>
      </c>
      <c r="L6" s="15">
        <f t="shared" si="4"/>
        <v>8070</v>
      </c>
      <c r="M6" s="16">
        <f t="shared" si="5"/>
        <v>0.52064516129032257</v>
      </c>
      <c r="N6" s="16">
        <f t="shared" si="6"/>
        <v>0.52064516129032257</v>
      </c>
      <c r="O6" s="16">
        <f t="shared" si="7"/>
        <v>0.58064516129032262</v>
      </c>
      <c r="P6" s="13">
        <v>95000</v>
      </c>
      <c r="Q6" s="16">
        <f t="shared" si="8"/>
        <v>8.4947368421052633E-2</v>
      </c>
    </row>
    <row r="7" spans="1:17">
      <c r="A7" s="65" t="s">
        <v>45</v>
      </c>
      <c r="B7" s="13">
        <v>21000</v>
      </c>
      <c r="C7" s="14">
        <v>1</v>
      </c>
      <c r="D7" s="12">
        <v>0</v>
      </c>
      <c r="E7" s="14">
        <v>0</v>
      </c>
      <c r="F7" s="13">
        <v>900</v>
      </c>
      <c r="G7" s="14">
        <v>0.05</v>
      </c>
      <c r="H7" s="33">
        <f t="shared" si="0"/>
        <v>75</v>
      </c>
      <c r="I7" s="15">
        <f t="shared" si="1"/>
        <v>855</v>
      </c>
      <c r="J7" s="15">
        <f t="shared" si="2"/>
        <v>0</v>
      </c>
      <c r="K7" s="15">
        <f t="shared" si="3"/>
        <v>780</v>
      </c>
      <c r="L7" s="15">
        <f t="shared" si="4"/>
        <v>9360</v>
      </c>
      <c r="M7" s="16">
        <f t="shared" si="5"/>
        <v>0.44571428571428573</v>
      </c>
      <c r="N7" s="16">
        <f t="shared" si="6"/>
        <v>0.44571428571428573</v>
      </c>
      <c r="O7" s="16">
        <f t="shared" si="7"/>
        <v>0.51428571428571423</v>
      </c>
      <c r="P7" s="13">
        <v>114750</v>
      </c>
      <c r="Q7" s="16">
        <f t="shared" si="8"/>
        <v>8.1568627450980397E-2</v>
      </c>
    </row>
    <row r="8" spans="1:17">
      <c r="A8" s="65" t="s">
        <v>46</v>
      </c>
      <c r="B8" s="13">
        <v>16500</v>
      </c>
      <c r="C8" s="14">
        <v>1</v>
      </c>
      <c r="D8" s="12">
        <v>0</v>
      </c>
      <c r="E8" s="14">
        <v>0</v>
      </c>
      <c r="F8" s="13">
        <v>900</v>
      </c>
      <c r="G8" s="14">
        <v>0.05</v>
      </c>
      <c r="H8" s="33">
        <f t="shared" si="0"/>
        <v>75</v>
      </c>
      <c r="I8" s="15">
        <f t="shared" si="1"/>
        <v>855</v>
      </c>
      <c r="J8" s="15">
        <f t="shared" si="2"/>
        <v>0</v>
      </c>
      <c r="K8" s="15">
        <f t="shared" si="3"/>
        <v>780</v>
      </c>
      <c r="L8" s="15">
        <f t="shared" si="4"/>
        <v>9360</v>
      </c>
      <c r="M8" s="16">
        <f t="shared" si="5"/>
        <v>0.56727272727272726</v>
      </c>
      <c r="N8" s="16">
        <f t="shared" si="6"/>
        <v>0.56727272727272726</v>
      </c>
      <c r="O8" s="16">
        <f t="shared" si="7"/>
        <v>0.65454545454545454</v>
      </c>
      <c r="P8" s="13">
        <v>108750</v>
      </c>
      <c r="Q8" s="16">
        <f t="shared" si="8"/>
        <v>8.6068965517241386E-2</v>
      </c>
    </row>
    <row r="9" spans="1:17">
      <c r="A9" s="65" t="s">
        <v>47</v>
      </c>
      <c r="B9" s="13">
        <v>15000</v>
      </c>
      <c r="C9" s="14">
        <v>1</v>
      </c>
      <c r="D9" s="12">
        <v>0</v>
      </c>
      <c r="E9" s="14">
        <v>0</v>
      </c>
      <c r="F9" s="13">
        <v>800</v>
      </c>
      <c r="G9" s="14">
        <v>0.05</v>
      </c>
      <c r="H9" s="33">
        <f t="shared" si="0"/>
        <v>66.666666666666671</v>
      </c>
      <c r="I9" s="15">
        <f t="shared" si="1"/>
        <v>760</v>
      </c>
      <c r="J9" s="15">
        <f t="shared" si="2"/>
        <v>0</v>
      </c>
      <c r="K9" s="15">
        <f t="shared" si="3"/>
        <v>693.33333333333337</v>
      </c>
      <c r="L9" s="15">
        <f t="shared" si="4"/>
        <v>8320</v>
      </c>
      <c r="M9" s="16">
        <f t="shared" si="5"/>
        <v>0.55466666666666664</v>
      </c>
      <c r="N9" s="16">
        <f t="shared" si="6"/>
        <v>0.55466666666666664</v>
      </c>
      <c r="O9" s="16">
        <f t="shared" si="7"/>
        <v>0.64</v>
      </c>
      <c r="P9" s="13">
        <v>73500</v>
      </c>
      <c r="Q9" s="16">
        <f t="shared" si="8"/>
        <v>0.11319727891156463</v>
      </c>
    </row>
    <row r="10" spans="1:17">
      <c r="A10" s="65" t="s">
        <v>48</v>
      </c>
      <c r="B10" s="13">
        <v>12000</v>
      </c>
      <c r="C10" s="14">
        <v>1</v>
      </c>
      <c r="D10" s="12">
        <v>0</v>
      </c>
      <c r="E10" s="14">
        <v>0</v>
      </c>
      <c r="F10" s="13">
        <v>525</v>
      </c>
      <c r="G10" s="14">
        <v>0.02</v>
      </c>
      <c r="H10" s="33">
        <f t="shared" si="0"/>
        <v>43.75</v>
      </c>
      <c r="I10" s="15">
        <f t="shared" si="1"/>
        <v>514.5</v>
      </c>
      <c r="J10" s="15">
        <f t="shared" si="2"/>
        <v>0</v>
      </c>
      <c r="K10" s="15">
        <f t="shared" si="3"/>
        <v>470.75</v>
      </c>
      <c r="L10" s="15">
        <f t="shared" si="4"/>
        <v>5649</v>
      </c>
      <c r="M10" s="16">
        <f t="shared" si="5"/>
        <v>0.47075</v>
      </c>
      <c r="N10" s="16">
        <f t="shared" si="6"/>
        <v>0.47075</v>
      </c>
      <c r="O10" s="16">
        <f t="shared" si="7"/>
        <v>0.52500000000000002</v>
      </c>
      <c r="P10" s="13">
        <v>118750</v>
      </c>
      <c r="Q10" s="16">
        <f t="shared" si="8"/>
        <v>4.7570526315789473E-2</v>
      </c>
    </row>
    <row r="11" spans="1:17">
      <c r="A11" s="65" t="s">
        <v>49</v>
      </c>
      <c r="B11" s="13">
        <v>13000</v>
      </c>
      <c r="C11" s="14">
        <v>1</v>
      </c>
      <c r="D11" s="12">
        <v>0</v>
      </c>
      <c r="E11" s="14">
        <v>0</v>
      </c>
      <c r="F11" s="13">
        <v>850</v>
      </c>
      <c r="G11" s="14">
        <v>0.05</v>
      </c>
      <c r="H11" s="33">
        <f t="shared" si="0"/>
        <v>70.833333333333329</v>
      </c>
      <c r="I11" s="15">
        <f t="shared" si="1"/>
        <v>807.5</v>
      </c>
      <c r="J11" s="15">
        <f t="shared" si="2"/>
        <v>0</v>
      </c>
      <c r="K11" s="15">
        <f t="shared" si="3"/>
        <v>736.66666666666663</v>
      </c>
      <c r="L11" s="15">
        <f t="shared" si="4"/>
        <v>8840</v>
      </c>
      <c r="M11" s="16">
        <f t="shared" si="5"/>
        <v>0.68</v>
      </c>
      <c r="N11" s="16">
        <f t="shared" si="6"/>
        <v>0.68</v>
      </c>
      <c r="O11" s="16">
        <f t="shared" si="7"/>
        <v>0.7846153846153846</v>
      </c>
      <c r="P11" s="13">
        <v>115800</v>
      </c>
      <c r="Q11" s="16">
        <f t="shared" si="8"/>
        <v>7.6338514680483596E-2</v>
      </c>
    </row>
    <row r="12" spans="1:17">
      <c r="A12" s="65" t="s">
        <v>50</v>
      </c>
      <c r="B12" s="13">
        <v>17500</v>
      </c>
      <c r="C12" s="14">
        <v>1</v>
      </c>
      <c r="D12" s="12">
        <v>0</v>
      </c>
      <c r="E12" s="14">
        <v>0</v>
      </c>
      <c r="F12" s="13">
        <v>850</v>
      </c>
      <c r="G12" s="14">
        <v>0.05</v>
      </c>
      <c r="H12" s="33">
        <f t="shared" si="0"/>
        <v>70.833333333333329</v>
      </c>
      <c r="I12" s="15">
        <f t="shared" si="1"/>
        <v>807.5</v>
      </c>
      <c r="J12" s="15">
        <f t="shared" si="2"/>
        <v>0</v>
      </c>
      <c r="K12" s="15">
        <f t="shared" si="3"/>
        <v>736.66666666666663</v>
      </c>
      <c r="L12" s="15">
        <f t="shared" si="4"/>
        <v>8840</v>
      </c>
      <c r="M12" s="16">
        <f t="shared" si="5"/>
        <v>0.50514285714285712</v>
      </c>
      <c r="N12" s="16">
        <f t="shared" si="6"/>
        <v>0.50514285714285712</v>
      </c>
      <c r="O12" s="16">
        <f t="shared" si="7"/>
        <v>0.58285714285714285</v>
      </c>
      <c r="P12" s="13">
        <v>109900</v>
      </c>
      <c r="Q12" s="16">
        <f t="shared" si="8"/>
        <v>8.0436760691537768E-2</v>
      </c>
    </row>
    <row r="13" spans="1:17">
      <c r="A13" s="65" t="s">
        <v>51</v>
      </c>
      <c r="B13" s="13">
        <v>12000</v>
      </c>
      <c r="C13" s="14">
        <v>1</v>
      </c>
      <c r="D13" s="12">
        <v>0</v>
      </c>
      <c r="E13" s="14">
        <v>0</v>
      </c>
      <c r="F13" s="13">
        <v>525</v>
      </c>
      <c r="G13" s="14">
        <v>0.05</v>
      </c>
      <c r="H13" s="33">
        <f t="shared" si="0"/>
        <v>43.75</v>
      </c>
      <c r="I13" s="15">
        <f t="shared" si="1"/>
        <v>498.75</v>
      </c>
      <c r="J13" s="15">
        <f t="shared" si="2"/>
        <v>0</v>
      </c>
      <c r="K13" s="15">
        <f t="shared" si="3"/>
        <v>455</v>
      </c>
      <c r="L13" s="15">
        <f t="shared" si="4"/>
        <v>5460</v>
      </c>
      <c r="M13" s="16">
        <f t="shared" si="5"/>
        <v>0.45500000000000002</v>
      </c>
      <c r="N13" s="16">
        <f t="shared" si="6"/>
        <v>0.45500000000000002</v>
      </c>
      <c r="O13" s="16">
        <f t="shared" si="7"/>
        <v>0.52500000000000002</v>
      </c>
      <c r="P13" s="13">
        <v>94700</v>
      </c>
      <c r="Q13" s="16">
        <f t="shared" si="8"/>
        <v>5.7655755015839492E-2</v>
      </c>
    </row>
    <row r="14" spans="1:17">
      <c r="A14" s="12" t="s">
        <v>52</v>
      </c>
      <c r="B14" s="13">
        <v>180000</v>
      </c>
      <c r="C14" s="14">
        <v>0.2</v>
      </c>
      <c r="D14" s="12">
        <v>30</v>
      </c>
      <c r="E14" s="14">
        <v>6.8000000000000005E-2</v>
      </c>
      <c r="F14" s="13">
        <v>1400</v>
      </c>
      <c r="G14" s="14">
        <v>0.05</v>
      </c>
      <c r="H14" s="33">
        <f t="shared" si="0"/>
        <v>116.66666666666667</v>
      </c>
      <c r="I14" s="15">
        <f t="shared" si="1"/>
        <v>1330</v>
      </c>
      <c r="J14" s="15">
        <f t="shared" si="2"/>
        <v>938.77227095747196</v>
      </c>
      <c r="K14" s="15">
        <f t="shared" si="3"/>
        <v>274.56106237586135</v>
      </c>
      <c r="L14" s="15">
        <f t="shared" si="4"/>
        <v>3294.732748510336</v>
      </c>
      <c r="M14" s="16">
        <f t="shared" si="5"/>
        <v>1.8304070825057424E-2</v>
      </c>
      <c r="N14" s="16">
        <f t="shared" si="6"/>
        <v>9.1520354125287112E-2</v>
      </c>
      <c r="O14" s="16">
        <f t="shared" si="7"/>
        <v>9.3333333333333338E-2</v>
      </c>
      <c r="P14" s="13">
        <v>200000</v>
      </c>
      <c r="Q14" s="16">
        <f t="shared" si="8"/>
        <v>1.6473663742551679E-2</v>
      </c>
    </row>
    <row r="15" spans="1:17">
      <c r="A15" s="12" t="s">
        <v>53</v>
      </c>
      <c r="B15" s="13">
        <v>320000</v>
      </c>
      <c r="C15" s="14">
        <v>0.25</v>
      </c>
      <c r="D15" s="12">
        <v>30</v>
      </c>
      <c r="E15" s="14">
        <v>6.8000000000000005E-2</v>
      </c>
      <c r="F15" s="13">
        <v>2200</v>
      </c>
      <c r="G15" s="14">
        <v>0.05</v>
      </c>
      <c r="H15" s="33">
        <f t="shared" si="0"/>
        <v>183.33333333333334</v>
      </c>
      <c r="I15" s="15">
        <f t="shared" si="1"/>
        <v>2090</v>
      </c>
      <c r="J15" s="15">
        <f t="shared" si="2"/>
        <v>1564.6204515957866</v>
      </c>
      <c r="K15" s="15">
        <f t="shared" si="3"/>
        <v>342.04621507088007</v>
      </c>
      <c r="L15" s="15">
        <f t="shared" si="4"/>
        <v>4104.5545808505613</v>
      </c>
      <c r="M15" s="16">
        <f t="shared" si="5"/>
        <v>1.2826733065158004E-2</v>
      </c>
      <c r="N15" s="16">
        <f t="shared" si="6"/>
        <v>5.1306932260632016E-2</v>
      </c>
      <c r="O15" s="16">
        <f t="shared" si="7"/>
        <v>8.2500000000000004E-2</v>
      </c>
      <c r="P15" s="13">
        <v>400000</v>
      </c>
      <c r="Q15" s="16">
        <f t="shared" si="8"/>
        <v>1.0261386452126403E-2</v>
      </c>
    </row>
    <row r="16" spans="1:17" hidden="1">
      <c r="A16" s="55" t="s">
        <v>54</v>
      </c>
      <c r="B16" s="56"/>
      <c r="C16" s="57"/>
      <c r="D16" s="55"/>
      <c r="E16" s="57"/>
      <c r="F16" s="56"/>
      <c r="G16" s="57"/>
      <c r="H16" s="58">
        <f>F16/12</f>
        <v>0</v>
      </c>
      <c r="I16" s="59">
        <f>IFERROR(F16*(1-G16),0)</f>
        <v>0</v>
      </c>
      <c r="J16" s="59">
        <f>IFERROR(IF(D16=0,0,PMT(E16/12,D16*12,-(B16*(1-C16)))),0)</f>
        <v>0</v>
      </c>
      <c r="K16" s="59">
        <f>IFERROR(I16-J16-H16,0)</f>
        <v>0</v>
      </c>
      <c r="L16" s="59">
        <f>IFERROR(K16*12,0)</f>
        <v>0</v>
      </c>
      <c r="M16" s="60">
        <f>IFERROR(L16/B16,0)</f>
        <v>0</v>
      </c>
      <c r="N16" s="60">
        <f>IFERROR(L16/(B16*C16),0)</f>
        <v>0</v>
      </c>
      <c r="O16" s="60">
        <f>IFERROR((F16*12)/B16,0)</f>
        <v>0</v>
      </c>
      <c r="P16" s="53"/>
      <c r="Q16" s="54"/>
    </row>
    <row r="18" spans="1:16" ht="30.75">
      <c r="A18" s="17" t="s">
        <v>55</v>
      </c>
      <c r="P18" s="4"/>
    </row>
    <row r="20" spans="1:16">
      <c r="A20" s="5" t="s">
        <v>56</v>
      </c>
      <c r="B20" s="18" t="s">
        <v>57</v>
      </c>
    </row>
    <row r="21" spans="1:16">
      <c r="A21" s="5" t="s">
        <v>58</v>
      </c>
      <c r="B21" s="18" t="s">
        <v>59</v>
      </c>
    </row>
    <row r="23" spans="1:16" ht="30.75">
      <c r="A23" s="17" t="s">
        <v>60</v>
      </c>
    </row>
  </sheetData>
  <sheetProtection sheet="1" objects="1" scenarios="1"/>
  <protectedRanges>
    <protectedRange sqref="A1:H1048576" name="Range1"/>
  </protectedRanges>
  <conditionalFormatting sqref="Q3:Q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23F2-9FFE-448E-9343-5BAF56488149}">
  <dimension ref="A1:I67"/>
  <sheetViews>
    <sheetView tabSelected="1" workbookViewId="0">
      <pane xSplit="1" ySplit="1" topLeftCell="B51" activePane="bottomRight" state="frozen"/>
      <selection pane="bottomRight" activeCell="H64" sqref="H64"/>
      <selection pane="bottomLeft"/>
      <selection pane="topRight"/>
    </sheetView>
  </sheetViews>
  <sheetFormatPr defaultRowHeight="15"/>
  <cols>
    <col min="1" max="1" width="17.5703125" style="19" customWidth="1"/>
    <col min="2" max="2" width="22" bestFit="1" customWidth="1"/>
    <col min="3" max="3" width="12.7109375" customWidth="1"/>
    <col min="4" max="4" width="14.28515625" style="20" bestFit="1" customWidth="1"/>
    <col min="5" max="5" width="18.85546875" style="20" bestFit="1" customWidth="1"/>
    <col min="6" max="6" width="18.5703125" bestFit="1" customWidth="1"/>
    <col min="7" max="7" width="20" style="20" bestFit="1" customWidth="1"/>
    <col min="8" max="8" width="17.42578125" customWidth="1"/>
    <col min="9" max="9" width="17.140625" bestFit="1" customWidth="1"/>
  </cols>
  <sheetData>
    <row r="1" spans="1:9">
      <c r="A1" s="28" t="s">
        <v>61</v>
      </c>
      <c r="B1" s="24" t="s">
        <v>2</v>
      </c>
      <c r="C1" s="24" t="s">
        <v>62</v>
      </c>
      <c r="D1" s="24" t="s">
        <v>63</v>
      </c>
      <c r="E1" s="24" t="s">
        <v>64</v>
      </c>
      <c r="F1" s="24" t="s">
        <v>65</v>
      </c>
      <c r="G1" s="24" t="s">
        <v>66</v>
      </c>
      <c r="H1" s="30" t="s">
        <v>67</v>
      </c>
      <c r="I1" s="24" t="s">
        <v>68</v>
      </c>
    </row>
    <row r="2" spans="1:9">
      <c r="A2" s="29">
        <v>46023</v>
      </c>
      <c r="B2" s="26" t="s">
        <v>41</v>
      </c>
      <c r="C2" s="26" t="s">
        <v>69</v>
      </c>
      <c r="D2" s="27">
        <v>800</v>
      </c>
      <c r="E2" s="27">
        <v>800</v>
      </c>
      <c r="F2" s="26" t="s">
        <v>70</v>
      </c>
      <c r="G2" s="27">
        <f>IF(D2="","",D2-E2)</f>
        <v>0</v>
      </c>
      <c r="H2" s="31" t="s">
        <v>71</v>
      </c>
      <c r="I2" s="32" t="str">
        <f>IF(RentCollectionsTable[[#This Row],[Amount due]]="","",IF(RentCollectionsTable[[#This Row],[Balance Remaining]]&gt;0,"Partial","Paid in full"))</f>
        <v>Paid in full</v>
      </c>
    </row>
    <row r="3" spans="1:9" ht="30.75">
      <c r="A3" s="29">
        <v>46023</v>
      </c>
      <c r="B3" s="34" t="s">
        <v>43</v>
      </c>
      <c r="C3" s="26" t="s">
        <v>72</v>
      </c>
      <c r="D3" s="27">
        <v>475</v>
      </c>
      <c r="E3" s="27">
        <v>475</v>
      </c>
      <c r="F3" s="26" t="s">
        <v>70</v>
      </c>
      <c r="G3" s="27">
        <f>IF(D3="","",D3-E3)</f>
        <v>0</v>
      </c>
      <c r="H3" s="31" t="s">
        <v>71</v>
      </c>
      <c r="I3" s="27" t="str">
        <f>IF(RentCollectionsTable[[#This Row],[Amount due]]="","",IF(RentCollectionsTable[[#This Row],[Balance Remaining]]&gt;0,"Partial","Paid in full"))</f>
        <v>Paid in full</v>
      </c>
    </row>
    <row r="4" spans="1:9" ht="76.5">
      <c r="A4" s="29">
        <v>46023</v>
      </c>
      <c r="B4" s="26" t="s">
        <v>46</v>
      </c>
      <c r="C4" s="26" t="s">
        <v>73</v>
      </c>
      <c r="D4" s="27">
        <v>900</v>
      </c>
      <c r="E4" s="27">
        <v>1050</v>
      </c>
      <c r="F4" s="26" t="s">
        <v>70</v>
      </c>
      <c r="G4" s="27">
        <f>IF(D4="","",D4-E4)</f>
        <v>-150</v>
      </c>
      <c r="H4" s="63" t="s">
        <v>74</v>
      </c>
      <c r="I4" s="27" t="str">
        <f>IF(RentCollectionsTable[[#This Row],[Amount due]]="","",IF(RentCollectionsTable[[#This Row],[Balance Remaining]]&gt;0,"Partial","Paid in full"))</f>
        <v>Paid in full</v>
      </c>
    </row>
    <row r="5" spans="1:9">
      <c r="A5" s="29">
        <v>46024</v>
      </c>
      <c r="B5" s="26" t="s">
        <v>42</v>
      </c>
      <c r="C5" t="s">
        <v>75</v>
      </c>
      <c r="D5" s="27">
        <v>900</v>
      </c>
      <c r="E5" s="27">
        <v>900</v>
      </c>
      <c r="F5" s="26" t="s">
        <v>70</v>
      </c>
      <c r="G5" s="27">
        <f>IF(D5="","",D5-E5)</f>
        <v>0</v>
      </c>
      <c r="H5" s="31" t="s">
        <v>71</v>
      </c>
      <c r="I5" s="27" t="str">
        <f>IF(RentCollectionsTable[[#This Row],[Amount due]]="","",IF(RentCollectionsTable[[#This Row],[Balance Remaining]]&gt;0,"Partial","Paid in full"))</f>
        <v>Paid in full</v>
      </c>
    </row>
    <row r="6" spans="1:9" ht="45.75">
      <c r="A6" s="29">
        <v>46024</v>
      </c>
      <c r="B6" s="22" t="s">
        <v>47</v>
      </c>
      <c r="C6" s="22" t="s">
        <v>76</v>
      </c>
      <c r="D6" s="23">
        <v>800</v>
      </c>
      <c r="E6" s="23">
        <v>800</v>
      </c>
      <c r="F6" s="26" t="s">
        <v>70</v>
      </c>
      <c r="G6" s="23">
        <f>IF(D6="","",D6-E6)</f>
        <v>0</v>
      </c>
      <c r="H6" s="52" t="s">
        <v>77</v>
      </c>
      <c r="I6" s="23" t="str">
        <f>IF(RentCollectionsTable[[#This Row],[Amount due]]="","",IF(RentCollectionsTable[[#This Row],[Balance Remaining]]&gt;0,"Partial","Paid in full"))</f>
        <v>Paid in full</v>
      </c>
    </row>
    <row r="7" spans="1:9">
      <c r="A7" s="29">
        <v>46024</v>
      </c>
      <c r="B7" s="22" t="s">
        <v>48</v>
      </c>
      <c r="C7" s="22" t="s">
        <v>78</v>
      </c>
      <c r="D7" s="23">
        <v>525</v>
      </c>
      <c r="E7" s="23">
        <v>525</v>
      </c>
      <c r="F7" s="26" t="s">
        <v>70</v>
      </c>
      <c r="G7" s="23">
        <f>IF(D7="","",D7-E7)</f>
        <v>0</v>
      </c>
      <c r="H7" s="49" t="s">
        <v>71</v>
      </c>
      <c r="I7" s="23" t="str">
        <f>IF(RentCollectionsTable[[#This Row],[Amount due]]="","",IF(RentCollectionsTable[[#This Row],[Balance Remaining]]&gt;0,"Partial","Paid in full"))</f>
        <v>Paid in full</v>
      </c>
    </row>
    <row r="8" spans="1:9">
      <c r="A8" s="29">
        <v>46024</v>
      </c>
      <c r="B8" s="22" t="s">
        <v>49</v>
      </c>
      <c r="C8" s="22" t="s">
        <v>79</v>
      </c>
      <c r="D8" s="23">
        <v>850</v>
      </c>
      <c r="E8" s="23">
        <v>850</v>
      </c>
      <c r="F8" s="26" t="s">
        <v>70</v>
      </c>
      <c r="G8" s="23">
        <f>IF(D8="","",D8-E8)</f>
        <v>0</v>
      </c>
      <c r="H8" s="49" t="s">
        <v>71</v>
      </c>
      <c r="I8" s="23" t="str">
        <f>IF(RentCollectionsTable[[#This Row],[Amount due]]="","",IF(RentCollectionsTable[[#This Row],[Balance Remaining]]&gt;0,"Partial","Paid in full"))</f>
        <v>Paid in full</v>
      </c>
    </row>
    <row r="9" spans="1:9">
      <c r="A9" s="29">
        <v>46024</v>
      </c>
      <c r="B9" s="22" t="s">
        <v>50</v>
      </c>
      <c r="C9" s="22" t="s">
        <v>80</v>
      </c>
      <c r="D9" s="23">
        <v>525</v>
      </c>
      <c r="E9" s="23">
        <v>525</v>
      </c>
      <c r="F9" s="26" t="s">
        <v>70</v>
      </c>
      <c r="G9" s="23">
        <f>IF(D9="","",D9-E9)</f>
        <v>0</v>
      </c>
      <c r="H9" s="49" t="s">
        <v>71</v>
      </c>
      <c r="I9" s="23" t="str">
        <f>IF(RentCollectionsTable[[#This Row],[Amount due]]="","",IF(RentCollectionsTable[[#This Row],[Balance Remaining]]&gt;0,"Partial","Paid in full"))</f>
        <v>Paid in full</v>
      </c>
    </row>
    <row r="10" spans="1:9">
      <c r="A10" s="29">
        <v>46027</v>
      </c>
      <c r="B10" s="22" t="s">
        <v>44</v>
      </c>
      <c r="C10" s="22" t="s">
        <v>81</v>
      </c>
      <c r="D10" s="23">
        <v>750</v>
      </c>
      <c r="E10" s="23">
        <v>750</v>
      </c>
      <c r="F10" s="26" t="s">
        <v>70</v>
      </c>
      <c r="G10" s="23">
        <f>IF(D10="","",D10-E10)</f>
        <v>0</v>
      </c>
      <c r="H10" s="49" t="s">
        <v>71</v>
      </c>
      <c r="I10" s="23" t="str">
        <f>IF(RentCollectionsTable[[#This Row],[Amount due]]="","",IF(RentCollectionsTable[[#This Row],[Balance Remaining]]&gt;0,"Partial","Paid in full"))</f>
        <v>Paid in full</v>
      </c>
    </row>
    <row r="11" spans="1:9">
      <c r="A11" s="29">
        <v>46028</v>
      </c>
      <c r="B11" s="22" t="s">
        <v>51</v>
      </c>
      <c r="C11" s="22" t="s">
        <v>82</v>
      </c>
      <c r="D11" s="23">
        <v>850</v>
      </c>
      <c r="E11" s="23">
        <v>850</v>
      </c>
      <c r="F11" s="26" t="s">
        <v>70</v>
      </c>
      <c r="G11" s="23">
        <f>IF(D11="","",D11-E11)</f>
        <v>0</v>
      </c>
      <c r="H11" s="49" t="s">
        <v>71</v>
      </c>
      <c r="I11" s="23" t="str">
        <f>IF(RentCollectionsTable[[#This Row],[Amount due]]="","",IF(RentCollectionsTable[[#This Row],[Balance Remaining]]&gt;0,"Partial","Paid in full"))</f>
        <v>Paid in full</v>
      </c>
    </row>
    <row r="12" spans="1:9">
      <c r="A12" s="29">
        <v>46036</v>
      </c>
      <c r="B12" s="22" t="s">
        <v>45</v>
      </c>
      <c r="C12" s="22" t="s">
        <v>83</v>
      </c>
      <c r="D12" s="23">
        <v>900</v>
      </c>
      <c r="E12" s="23">
        <v>925</v>
      </c>
      <c r="F12" s="26" t="s">
        <v>70</v>
      </c>
      <c r="G12" s="23">
        <f>IF(D12="","",D12-E12)</f>
        <v>-25</v>
      </c>
      <c r="H12" s="49" t="s">
        <v>84</v>
      </c>
      <c r="I12" s="23" t="str">
        <f>IF(RentCollectionsTable[[#This Row],[Amount due]]="","",IF(RentCollectionsTable[[#This Row],[Balance Remaining]]&gt;0,"Partial","Paid in full"))</f>
        <v>Paid in full</v>
      </c>
    </row>
    <row r="13" spans="1:9">
      <c r="A13" s="50">
        <v>46054</v>
      </c>
      <c r="B13" s="22" t="s">
        <v>41</v>
      </c>
      <c r="C13" s="22" t="s">
        <v>69</v>
      </c>
      <c r="D13" s="23">
        <v>800</v>
      </c>
      <c r="E13" s="23">
        <v>800</v>
      </c>
      <c r="F13" s="22" t="s">
        <v>70</v>
      </c>
      <c r="G13" s="23">
        <f>IF(D13="","",D13-E13)</f>
        <v>0</v>
      </c>
      <c r="H13" s="49"/>
      <c r="I13" s="23" t="str">
        <f>IF(RentCollectionsTable[[#This Row],[Amount due]]="","",IF(RentCollectionsTable[[#This Row],[Balance Remaining]]&gt;0,"Partial","Paid in full"))</f>
        <v>Paid in full</v>
      </c>
    </row>
    <row r="14" spans="1:9" ht="30.75">
      <c r="A14" s="50">
        <v>46054</v>
      </c>
      <c r="B14" s="51" t="s">
        <v>43</v>
      </c>
      <c r="C14" s="22" t="s">
        <v>72</v>
      </c>
      <c r="D14" s="23">
        <v>475</v>
      </c>
      <c r="E14" s="23">
        <v>475</v>
      </c>
      <c r="F14" s="22" t="s">
        <v>70</v>
      </c>
      <c r="G14" s="23">
        <f>IF(D14="","",D14-E14)</f>
        <v>0</v>
      </c>
      <c r="H14" s="49"/>
      <c r="I14" s="23" t="str">
        <f>IF(RentCollectionsTable[[#This Row],[Amount due]]="","",IF(RentCollectionsTable[[#This Row],[Balance Remaining]]&gt;0,"Partial","Paid in full"))</f>
        <v>Paid in full</v>
      </c>
    </row>
    <row r="15" spans="1:9" ht="30.75">
      <c r="A15" s="50">
        <v>46054</v>
      </c>
      <c r="B15" s="22" t="s">
        <v>45</v>
      </c>
      <c r="C15" s="22" t="s">
        <v>83</v>
      </c>
      <c r="D15" s="23">
        <v>900</v>
      </c>
      <c r="E15" s="23">
        <v>1000</v>
      </c>
      <c r="F15" s="22" t="s">
        <v>70</v>
      </c>
      <c r="G15" s="23">
        <f>IF(D15="","",D15-E15)</f>
        <v>-100</v>
      </c>
      <c r="H15" s="52" t="s">
        <v>85</v>
      </c>
      <c r="I15" s="23" t="str">
        <f>IF(RentCollectionsTable[[#This Row],[Amount due]]="","",IF(RentCollectionsTable[[#This Row],[Balance Remaining]]&gt;0,"Partial","Paid in full"))</f>
        <v>Paid in full</v>
      </c>
    </row>
    <row r="16" spans="1:9">
      <c r="A16" s="50">
        <v>46054</v>
      </c>
      <c r="B16" s="22" t="s">
        <v>46</v>
      </c>
      <c r="C16" s="22" t="s">
        <v>73</v>
      </c>
      <c r="D16" s="23">
        <v>900</v>
      </c>
      <c r="E16" s="23">
        <v>900</v>
      </c>
      <c r="F16" s="22" t="s">
        <v>70</v>
      </c>
      <c r="G16" s="23">
        <f>IF(D16="","",D16-E16)</f>
        <v>0</v>
      </c>
      <c r="H16" s="49"/>
      <c r="I16" s="23" t="str">
        <f>IF(RentCollectionsTable[[#This Row],[Amount due]]="","",IF(RentCollectionsTable[[#This Row],[Balance Remaining]]&gt;0,"Partial","Paid in full"))</f>
        <v>Paid in full</v>
      </c>
    </row>
    <row r="17" spans="1:9">
      <c r="A17" s="50">
        <v>46054</v>
      </c>
      <c r="B17" s="22" t="s">
        <v>48</v>
      </c>
      <c r="C17" s="22" t="s">
        <v>78</v>
      </c>
      <c r="D17" s="23">
        <v>525</v>
      </c>
      <c r="E17" s="23">
        <v>525</v>
      </c>
      <c r="F17" s="22" t="s">
        <v>70</v>
      </c>
      <c r="G17" s="23">
        <f>IF(D17="","",D17-E17)</f>
        <v>0</v>
      </c>
      <c r="H17" s="49"/>
      <c r="I17" s="23" t="str">
        <f>IF(RentCollectionsTable[[#This Row],[Amount due]]="","",IF(RentCollectionsTable[[#This Row],[Balance Remaining]]&gt;0,"Partial","Paid in full"))</f>
        <v>Paid in full</v>
      </c>
    </row>
    <row r="18" spans="1:9" ht="60.75">
      <c r="A18" s="50">
        <v>46054</v>
      </c>
      <c r="B18" s="22" t="s">
        <v>49</v>
      </c>
      <c r="C18" s="22" t="s">
        <v>79</v>
      </c>
      <c r="D18" s="23">
        <v>850</v>
      </c>
      <c r="E18" s="23">
        <v>850</v>
      </c>
      <c r="F18" s="22" t="s">
        <v>70</v>
      </c>
      <c r="G18" s="23">
        <f>IF(D18="","",D18-E18)</f>
        <v>0</v>
      </c>
      <c r="H18" s="52" t="s">
        <v>86</v>
      </c>
      <c r="I18" s="23" t="str">
        <f>IF(RentCollectionsTable[[#This Row],[Amount due]]="","",IF(RentCollectionsTable[[#This Row],[Balance Remaining]]&gt;0,"Partial","Paid in full"))</f>
        <v>Paid in full</v>
      </c>
    </row>
    <row r="19" spans="1:9">
      <c r="A19" s="50">
        <v>46055</v>
      </c>
      <c r="B19" s="22" t="s">
        <v>50</v>
      </c>
      <c r="C19" s="22" t="s">
        <v>80</v>
      </c>
      <c r="D19" s="23">
        <v>525</v>
      </c>
      <c r="E19" s="23">
        <v>525</v>
      </c>
      <c r="F19" s="22" t="s">
        <v>70</v>
      </c>
      <c r="G19" s="23">
        <f>IF(D19="","",D19-E19)</f>
        <v>0</v>
      </c>
      <c r="H19" s="49"/>
      <c r="I19" s="23" t="str">
        <f>IF(RentCollectionsTable[[#This Row],[Amount due]]="","",IF(RentCollectionsTable[[#This Row],[Balance Remaining]]&gt;0,"Partial","Paid in full"))</f>
        <v>Paid in full</v>
      </c>
    </row>
    <row r="20" spans="1:9">
      <c r="A20" s="50">
        <v>46056</v>
      </c>
      <c r="B20" s="22" t="s">
        <v>51</v>
      </c>
      <c r="C20" s="22" t="s">
        <v>82</v>
      </c>
      <c r="D20" s="23">
        <v>850</v>
      </c>
      <c r="E20" s="23">
        <v>850</v>
      </c>
      <c r="F20" s="22" t="s">
        <v>70</v>
      </c>
      <c r="G20" s="23">
        <f>IF(D20="","",D20-E20)</f>
        <v>0</v>
      </c>
      <c r="H20" s="49"/>
      <c r="I20" s="23" t="str">
        <f>IF(RentCollectionsTable[[#This Row],[Amount due]]="","",IF(RentCollectionsTable[[#This Row],[Balance Remaining]]&gt;0,"Partial","Paid in full"))</f>
        <v>Paid in full</v>
      </c>
    </row>
    <row r="21" spans="1:9">
      <c r="A21" s="50">
        <v>46059</v>
      </c>
      <c r="B21" s="22" t="s">
        <v>42</v>
      </c>
      <c r="C21" s="22" t="s">
        <v>75</v>
      </c>
      <c r="D21" s="23">
        <v>900</v>
      </c>
      <c r="E21" s="23">
        <v>900</v>
      </c>
      <c r="F21" s="22" t="s">
        <v>70</v>
      </c>
      <c r="G21" s="23">
        <f>IF(D21="","",D21-E21)</f>
        <v>0</v>
      </c>
      <c r="H21" s="49"/>
      <c r="I21" s="23" t="str">
        <f>IF(RentCollectionsTable[[#This Row],[Amount due]]="","",IF(RentCollectionsTable[[#This Row],[Balance Remaining]]&gt;0,"Partial","Paid in full"))</f>
        <v>Paid in full</v>
      </c>
    </row>
    <row r="22" spans="1:9">
      <c r="A22" s="50">
        <v>46059</v>
      </c>
      <c r="B22" s="22" t="s">
        <v>44</v>
      </c>
      <c r="C22" s="22" t="s">
        <v>81</v>
      </c>
      <c r="D22" s="23">
        <v>750</v>
      </c>
      <c r="E22" s="23">
        <v>750</v>
      </c>
      <c r="F22" s="22" t="s">
        <v>70</v>
      </c>
      <c r="G22" s="23">
        <f>IF(D22="","",D22-E22)</f>
        <v>0</v>
      </c>
      <c r="H22" s="49"/>
      <c r="I22" s="23" t="str">
        <f>IF(RentCollectionsTable[[#This Row],[Amount due]]="","",IF(RentCollectionsTable[[#This Row],[Balance Remaining]]&gt;0,"Partial","Paid in full"))</f>
        <v>Paid in full</v>
      </c>
    </row>
    <row r="23" spans="1:9">
      <c r="A23" s="50">
        <v>46059</v>
      </c>
      <c r="B23" s="26" t="s">
        <v>47</v>
      </c>
      <c r="C23" s="26" t="s">
        <v>76</v>
      </c>
      <c r="D23" s="27">
        <v>800</v>
      </c>
      <c r="E23" s="27">
        <v>800</v>
      </c>
      <c r="F23" s="26" t="s">
        <v>70</v>
      </c>
      <c r="G23" s="27">
        <f>IF(D23="","",D23-E23)</f>
        <v>0</v>
      </c>
      <c r="H23" s="31"/>
      <c r="I23" s="27" t="str">
        <f>IF(RentCollectionsTable[[#This Row],[Amount due]]="","",IF(RentCollectionsTable[[#This Row],[Balance Remaining]]&gt;0,"Partial","Paid in full"))</f>
        <v>Paid in full</v>
      </c>
    </row>
    <row r="24" spans="1:9">
      <c r="A24" s="50">
        <v>46082</v>
      </c>
      <c r="B24" s="22" t="s">
        <v>41</v>
      </c>
      <c r="C24" s="22" t="s">
        <v>69</v>
      </c>
      <c r="D24" s="23">
        <v>800</v>
      </c>
      <c r="E24" s="23">
        <v>800</v>
      </c>
      <c r="F24" s="22" t="s">
        <v>70</v>
      </c>
      <c r="G24" s="23">
        <f>IF(D24="","",D24-E24)</f>
        <v>0</v>
      </c>
      <c r="H24" s="49"/>
      <c r="I24" s="23" t="str">
        <f>IF(RentCollectionsTable[[#This Row],[Amount due]]="","",IF(RentCollectionsTable[[#This Row],[Balance Remaining]]&gt;0,"Partial","Paid in full"))</f>
        <v>Paid in full</v>
      </c>
    </row>
    <row r="25" spans="1:9" ht="30.75">
      <c r="A25" s="50">
        <v>46082</v>
      </c>
      <c r="B25" s="51" t="s">
        <v>43</v>
      </c>
      <c r="C25" s="22" t="s">
        <v>72</v>
      </c>
      <c r="D25" s="23">
        <v>475</v>
      </c>
      <c r="E25" s="23">
        <v>475</v>
      </c>
      <c r="F25" s="22" t="s">
        <v>70</v>
      </c>
      <c r="G25" s="23">
        <f>IF(D25="","",D25-E25)</f>
        <v>0</v>
      </c>
      <c r="H25" s="49"/>
      <c r="I25" s="23" t="str">
        <f>IF(RentCollectionsTable[[#This Row],[Amount due]]="","",IF(RentCollectionsTable[[#This Row],[Balance Remaining]]&gt;0,"Partial","Paid in full"))</f>
        <v>Paid in full</v>
      </c>
    </row>
    <row r="26" spans="1:9">
      <c r="A26" s="50">
        <v>46082</v>
      </c>
      <c r="B26" s="22" t="s">
        <v>49</v>
      </c>
      <c r="C26" s="22" t="s">
        <v>79</v>
      </c>
      <c r="D26" s="23">
        <v>850</v>
      </c>
      <c r="E26" s="23">
        <v>850</v>
      </c>
      <c r="F26" s="22" t="s">
        <v>70</v>
      </c>
      <c r="G26" s="23">
        <f>IF(D26="","",D26-E26)</f>
        <v>0</v>
      </c>
      <c r="H26" s="49"/>
      <c r="I26" s="23" t="str">
        <f>IF(RentCollectionsTable[[#This Row],[Amount due]]="","",IF(RentCollectionsTable[[#This Row],[Balance Remaining]]&gt;0,"Partial","Paid in full"))</f>
        <v>Paid in full</v>
      </c>
    </row>
    <row r="27" spans="1:9">
      <c r="A27" s="50">
        <v>46083</v>
      </c>
      <c r="B27" s="22" t="s">
        <v>50</v>
      </c>
      <c r="C27" s="22" t="s">
        <v>80</v>
      </c>
      <c r="D27" s="23">
        <v>525</v>
      </c>
      <c r="E27" s="23">
        <v>525</v>
      </c>
      <c r="F27" s="22" t="s">
        <v>70</v>
      </c>
      <c r="G27" s="23">
        <f>IF(D27="","",D27-E27)</f>
        <v>0</v>
      </c>
      <c r="H27" s="49"/>
      <c r="I27" s="23" t="str">
        <f>IF(RentCollectionsTable[[#This Row],[Amount due]]="","",IF(RentCollectionsTable[[#This Row],[Balance Remaining]]&gt;0,"Partial","Paid in full"))</f>
        <v>Paid in full</v>
      </c>
    </row>
    <row r="28" spans="1:9">
      <c r="A28" s="50">
        <v>46084</v>
      </c>
      <c r="B28" s="22" t="s">
        <v>48</v>
      </c>
      <c r="C28" s="22" t="s">
        <v>78</v>
      </c>
      <c r="D28" s="23">
        <v>525</v>
      </c>
      <c r="E28" s="23">
        <v>525</v>
      </c>
      <c r="F28" s="22" t="s">
        <v>70</v>
      </c>
      <c r="G28" s="23">
        <f>IF(D28="","",D28-E28)</f>
        <v>0</v>
      </c>
      <c r="H28" s="49"/>
      <c r="I28" s="23" t="str">
        <f>IF(RentCollectionsTable[[#This Row],[Amount due]]="","",IF(RentCollectionsTable[[#This Row],[Balance Remaining]]&gt;0,"Partial","Paid in full"))</f>
        <v>Paid in full</v>
      </c>
    </row>
    <row r="29" spans="1:9">
      <c r="A29" s="50">
        <v>46084</v>
      </c>
      <c r="B29" s="22" t="s">
        <v>51</v>
      </c>
      <c r="C29" s="22" t="s">
        <v>82</v>
      </c>
      <c r="D29" s="23">
        <v>850</v>
      </c>
      <c r="E29" s="23">
        <v>850</v>
      </c>
      <c r="F29" s="22" t="s">
        <v>70</v>
      </c>
      <c r="G29" s="23">
        <f>IF(D29="","",D29-E29)</f>
        <v>0</v>
      </c>
      <c r="H29" s="49"/>
      <c r="I29" s="23" t="str">
        <f>IF(RentCollectionsTable[[#This Row],[Amount due]]="","",IF(RentCollectionsTable[[#This Row],[Balance Remaining]]&gt;0,"Partial","Paid in full"))</f>
        <v>Paid in full</v>
      </c>
    </row>
    <row r="30" spans="1:9">
      <c r="A30" s="50">
        <v>46086</v>
      </c>
      <c r="B30" s="22" t="s">
        <v>44</v>
      </c>
      <c r="C30" s="22" t="s">
        <v>81</v>
      </c>
      <c r="D30" s="23">
        <v>750</v>
      </c>
      <c r="E30" s="23">
        <v>750</v>
      </c>
      <c r="F30" s="22" t="s">
        <v>70</v>
      </c>
      <c r="G30" s="23">
        <f>IF(D30="","",D30-E30)</f>
        <v>0</v>
      </c>
      <c r="H30" s="49"/>
      <c r="I30" s="23" t="str">
        <f>IF(RentCollectionsTable[[#This Row],[Amount due]]="","",IF(RentCollectionsTable[[#This Row],[Balance Remaining]]&gt;0,"Partial","Paid in full"))</f>
        <v>Paid in full</v>
      </c>
    </row>
    <row r="31" spans="1:9">
      <c r="A31" s="50">
        <v>46087</v>
      </c>
      <c r="B31" s="22" t="s">
        <v>42</v>
      </c>
      <c r="C31" s="22" t="s">
        <v>75</v>
      </c>
      <c r="D31" s="23">
        <v>900</v>
      </c>
      <c r="E31" s="23">
        <v>900</v>
      </c>
      <c r="F31" s="22" t="s">
        <v>70</v>
      </c>
      <c r="G31" s="23">
        <f>IF(D31="","",D31-E31)</f>
        <v>0</v>
      </c>
      <c r="H31" s="49"/>
      <c r="I31" s="23" t="str">
        <f>IF(RentCollectionsTable[[#This Row],[Amount due]]="","",IF(RentCollectionsTable[[#This Row],[Balance Remaining]]&gt;0,"Partial","Paid in full"))</f>
        <v>Paid in full</v>
      </c>
    </row>
    <row r="32" spans="1:9">
      <c r="A32" s="50">
        <v>46087</v>
      </c>
      <c r="B32" s="22" t="s">
        <v>45</v>
      </c>
      <c r="C32" s="22" t="s">
        <v>83</v>
      </c>
      <c r="D32" s="23">
        <v>900</v>
      </c>
      <c r="E32" s="23">
        <v>900</v>
      </c>
      <c r="F32" s="22" t="s">
        <v>70</v>
      </c>
      <c r="G32" s="23">
        <f>IF(D32="","",D32-E32)</f>
        <v>0</v>
      </c>
      <c r="H32" s="52"/>
      <c r="I32" s="23" t="str">
        <f>IF(RentCollectionsTable[[#This Row],[Amount due]]="","",IF(RentCollectionsTable[[#This Row],[Balance Remaining]]&gt;0,"Partial","Paid in full"))</f>
        <v>Paid in full</v>
      </c>
    </row>
    <row r="33" spans="1:9">
      <c r="A33" s="50">
        <v>46087</v>
      </c>
      <c r="B33" s="22" t="s">
        <v>47</v>
      </c>
      <c r="C33" s="22" t="s">
        <v>76</v>
      </c>
      <c r="D33" s="23">
        <v>800</v>
      </c>
      <c r="E33" s="23">
        <v>800</v>
      </c>
      <c r="F33" s="22" t="s">
        <v>70</v>
      </c>
      <c r="G33" s="23">
        <f>IF(D33="","",D33-E33)</f>
        <v>0</v>
      </c>
      <c r="H33" s="49"/>
      <c r="I33" s="23" t="str">
        <f>IF(RentCollectionsTable[[#This Row],[Amount due]]="","",IF(RentCollectionsTable[[#This Row],[Balance Remaining]]&gt;0,"Partial","Paid in full"))</f>
        <v>Paid in full</v>
      </c>
    </row>
    <row r="34" spans="1:9">
      <c r="A34" s="50">
        <v>46096</v>
      </c>
      <c r="B34" s="26" t="s">
        <v>46</v>
      </c>
      <c r="C34" s="26" t="s">
        <v>73</v>
      </c>
      <c r="D34" s="27">
        <v>900</v>
      </c>
      <c r="E34" s="27">
        <v>925</v>
      </c>
      <c r="F34" s="26" t="s">
        <v>70</v>
      </c>
      <c r="G34" s="27">
        <f>IF(D34="","",D34-E34)</f>
        <v>-25</v>
      </c>
      <c r="H34" s="31" t="s">
        <v>84</v>
      </c>
      <c r="I34" s="27" t="str">
        <f>IF(RentCollectionsTable[[#This Row],[Amount due]]="","",IF(RentCollectionsTable[[#This Row],[Balance Remaining]]&gt;0,"Partial","Paid in full"))</f>
        <v>Paid in full</v>
      </c>
    </row>
    <row r="35" spans="1:9" ht="91.5">
      <c r="A35" s="50">
        <v>46113</v>
      </c>
      <c r="B35" s="22" t="s">
        <v>41</v>
      </c>
      <c r="C35" s="22" t="s">
        <v>69</v>
      </c>
      <c r="D35" s="23">
        <v>800</v>
      </c>
      <c r="E35" s="23">
        <v>800</v>
      </c>
      <c r="F35" s="22" t="s">
        <v>70</v>
      </c>
      <c r="G35" s="23">
        <f>IF(D35="","",D35-E35)</f>
        <v>0</v>
      </c>
      <c r="H35" s="52" t="s">
        <v>87</v>
      </c>
      <c r="I35" s="23" t="str">
        <f>IF(RentCollectionsTable[[#This Row],[Amount due]]="","",IF(RentCollectionsTable[[#This Row],[Balance Remaining]]&gt;0,"Partial","Paid in full"))</f>
        <v>Paid in full</v>
      </c>
    </row>
    <row r="36" spans="1:9" ht="30.75">
      <c r="A36" s="50">
        <v>46113</v>
      </c>
      <c r="B36" s="51" t="s">
        <v>43</v>
      </c>
      <c r="C36" s="22" t="s">
        <v>72</v>
      </c>
      <c r="D36" s="23">
        <v>475</v>
      </c>
      <c r="E36" s="23">
        <v>475</v>
      </c>
      <c r="F36" s="22" t="s">
        <v>70</v>
      </c>
      <c r="G36" s="23">
        <f>IF(D36="","",D36-E36)</f>
        <v>0</v>
      </c>
      <c r="H36" s="49" t="s">
        <v>71</v>
      </c>
      <c r="I36" s="23" t="str">
        <f>IF(RentCollectionsTable[[#This Row],[Amount due]]="","",IF(RentCollectionsTable[[#This Row],[Balance Remaining]]&gt;0,"Partial","Paid in full"))</f>
        <v>Paid in full</v>
      </c>
    </row>
    <row r="37" spans="1:9">
      <c r="A37" s="50">
        <v>46113</v>
      </c>
      <c r="B37" s="22" t="s">
        <v>44</v>
      </c>
      <c r="C37" s="22" t="s">
        <v>81</v>
      </c>
      <c r="D37" s="23">
        <v>750</v>
      </c>
      <c r="E37" s="23">
        <v>750</v>
      </c>
      <c r="F37" s="22" t="s">
        <v>70</v>
      </c>
      <c r="G37" s="23">
        <f>IF(D37="","",D37-E37)</f>
        <v>0</v>
      </c>
      <c r="H37" s="49" t="s">
        <v>71</v>
      </c>
      <c r="I37" s="23" t="str">
        <f>IF(RentCollectionsTable[[#This Row],[Amount due]]="","",IF(RentCollectionsTable[[#This Row],[Balance Remaining]]&gt;0,"Partial","Paid in full"))</f>
        <v>Paid in full</v>
      </c>
    </row>
    <row r="38" spans="1:9">
      <c r="A38" s="50">
        <v>46113</v>
      </c>
      <c r="B38" s="22" t="s">
        <v>46</v>
      </c>
      <c r="C38" s="22" t="s">
        <v>73</v>
      </c>
      <c r="D38" s="23">
        <v>900</v>
      </c>
      <c r="E38" s="23">
        <v>900</v>
      </c>
      <c r="F38" s="22" t="s">
        <v>70</v>
      </c>
      <c r="G38" s="23">
        <f>IF(D38="","",D38-E38)</f>
        <v>0</v>
      </c>
      <c r="H38" s="49" t="s">
        <v>71</v>
      </c>
      <c r="I38" s="23" t="str">
        <f>IF(RentCollectionsTable[[#This Row],[Amount due]]="","",IF(RentCollectionsTable[[#This Row],[Balance Remaining]]&gt;0,"Partial","Paid in full"))</f>
        <v>Paid in full</v>
      </c>
    </row>
    <row r="39" spans="1:9">
      <c r="A39" s="50">
        <v>46113</v>
      </c>
      <c r="B39" s="22" t="s">
        <v>49</v>
      </c>
      <c r="C39" s="22" t="s">
        <v>79</v>
      </c>
      <c r="D39" s="23">
        <v>850</v>
      </c>
      <c r="E39" s="23">
        <v>850</v>
      </c>
      <c r="F39" s="22" t="s">
        <v>70</v>
      </c>
      <c r="G39" s="23">
        <f>IF(D39="","",D39-E39)</f>
        <v>0</v>
      </c>
      <c r="H39" s="49" t="s">
        <v>71</v>
      </c>
      <c r="I39" s="23" t="str">
        <f>IF(RentCollectionsTable[[#This Row],[Amount due]]="","",IF(RentCollectionsTable[[#This Row],[Balance Remaining]]&gt;0,"Partial","Paid in full"))</f>
        <v>Paid in full</v>
      </c>
    </row>
    <row r="40" spans="1:9">
      <c r="A40" s="50">
        <v>46114</v>
      </c>
      <c r="B40" s="22" t="s">
        <v>51</v>
      </c>
      <c r="C40" s="22" t="s">
        <v>82</v>
      </c>
      <c r="D40" s="23">
        <v>850</v>
      </c>
      <c r="E40" s="23">
        <v>850</v>
      </c>
      <c r="F40" s="22" t="s">
        <v>70</v>
      </c>
      <c r="G40" s="23">
        <f>IF(D40="","",D40-E40)</f>
        <v>0</v>
      </c>
      <c r="H40" s="49" t="s">
        <v>71</v>
      </c>
      <c r="I40" s="23" t="str">
        <f>IF(RentCollectionsTable[[#This Row],[Amount due]]="","",IF(RentCollectionsTable[[#This Row],[Balance Remaining]]&gt;0,"Partial","Paid in full"))</f>
        <v>Paid in full</v>
      </c>
    </row>
    <row r="41" spans="1:9">
      <c r="A41" s="50">
        <v>46115</v>
      </c>
      <c r="B41" s="22" t="s">
        <v>42</v>
      </c>
      <c r="C41" s="22" t="s">
        <v>75</v>
      </c>
      <c r="D41" s="23">
        <v>900</v>
      </c>
      <c r="E41" s="23">
        <v>900</v>
      </c>
      <c r="F41" s="22" t="s">
        <v>70</v>
      </c>
      <c r="G41" s="23">
        <f>IF(D41="","",D41-E41)</f>
        <v>0</v>
      </c>
      <c r="H41" s="49" t="s">
        <v>71</v>
      </c>
      <c r="I41" s="23" t="str">
        <f>IF(RentCollectionsTable[[#This Row],[Amount due]]="","",IF(RentCollectionsTable[[#This Row],[Balance Remaining]]&gt;0,"Partial","Paid in full"))</f>
        <v>Paid in full</v>
      </c>
    </row>
    <row r="42" spans="1:9">
      <c r="A42" s="50">
        <v>46117</v>
      </c>
      <c r="B42" s="22" t="s">
        <v>47</v>
      </c>
      <c r="C42" s="22" t="s">
        <v>76</v>
      </c>
      <c r="D42" s="23">
        <v>800</v>
      </c>
      <c r="E42" s="23">
        <v>800</v>
      </c>
      <c r="F42" s="22" t="s">
        <v>70</v>
      </c>
      <c r="G42" s="23">
        <f>IF(D42="","",D42-E42)</f>
        <v>0</v>
      </c>
      <c r="H42" s="49" t="s">
        <v>71</v>
      </c>
      <c r="I42" s="23" t="str">
        <f>IF(RentCollectionsTable[[#This Row],[Amount due]]="","",IF(RentCollectionsTable[[#This Row],[Balance Remaining]]&gt;0,"Partial","Paid in full"))</f>
        <v>Paid in full</v>
      </c>
    </row>
    <row r="43" spans="1:9">
      <c r="A43" s="50">
        <v>46117</v>
      </c>
      <c r="B43" s="22" t="s">
        <v>48</v>
      </c>
      <c r="C43" s="22" t="s">
        <v>78</v>
      </c>
      <c r="D43" s="23">
        <v>525</v>
      </c>
      <c r="E43" s="23">
        <v>525</v>
      </c>
      <c r="F43" s="22" t="s">
        <v>70</v>
      </c>
      <c r="G43" s="23">
        <f>IF(D43="","",D43-E43)</f>
        <v>0</v>
      </c>
      <c r="H43" s="49" t="s">
        <v>71</v>
      </c>
      <c r="I43" s="23" t="str">
        <f>IF(RentCollectionsTable[[#This Row],[Amount due]]="","",IF(RentCollectionsTable[[#This Row],[Balance Remaining]]&gt;0,"Partial","Paid in full"))</f>
        <v>Paid in full</v>
      </c>
    </row>
    <row r="44" spans="1:9">
      <c r="A44" s="50">
        <v>46117</v>
      </c>
      <c r="B44" s="22" t="s">
        <v>50</v>
      </c>
      <c r="C44" s="22" t="s">
        <v>80</v>
      </c>
      <c r="D44" s="23">
        <v>525</v>
      </c>
      <c r="E44" s="23">
        <v>525</v>
      </c>
      <c r="F44" s="22" t="s">
        <v>70</v>
      </c>
      <c r="G44" s="23">
        <f>IF(D44="","",D44-E44)</f>
        <v>0</v>
      </c>
      <c r="H44" s="49" t="s">
        <v>71</v>
      </c>
      <c r="I44" s="23" t="str">
        <f>IF(RentCollectionsTable[[#This Row],[Amount due]]="","",IF(RentCollectionsTable[[#This Row],[Balance Remaining]]&gt;0,"Partial","Paid in full"))</f>
        <v>Paid in full</v>
      </c>
    </row>
    <row r="45" spans="1:9">
      <c r="A45" s="50">
        <v>46118</v>
      </c>
      <c r="B45" s="26" t="s">
        <v>45</v>
      </c>
      <c r="C45" s="26" t="s">
        <v>83</v>
      </c>
      <c r="D45" s="27">
        <v>900</v>
      </c>
      <c r="E45" s="27">
        <v>900</v>
      </c>
      <c r="F45" s="26" t="s">
        <v>70</v>
      </c>
      <c r="G45" s="27">
        <f>IF(D45="","",D45-E45)</f>
        <v>0</v>
      </c>
      <c r="H45" s="49" t="s">
        <v>71</v>
      </c>
      <c r="I45" s="27" t="str">
        <f>IF(RentCollectionsTable[[#This Row],[Amount due]]="","",IF(RentCollectionsTable[[#This Row],[Balance Remaining]]&gt;0,"Partial","Paid in full"))</f>
        <v>Paid in full</v>
      </c>
    </row>
    <row r="46" spans="1:9">
      <c r="A46" s="50">
        <v>46143</v>
      </c>
      <c r="B46" s="22" t="s">
        <v>41</v>
      </c>
      <c r="C46" s="22" t="s">
        <v>69</v>
      </c>
      <c r="D46" s="23">
        <v>800</v>
      </c>
      <c r="E46" s="23">
        <v>800</v>
      </c>
      <c r="F46" s="22" t="s">
        <v>70</v>
      </c>
      <c r="G46" s="23">
        <f>IF(D46="","",D46-E46)</f>
        <v>0</v>
      </c>
      <c r="H46" s="49"/>
      <c r="I46" s="23" t="str">
        <f>IF(RentCollectionsTable[[#This Row],[Amount due]]="","",IF(RentCollectionsTable[[#This Row],[Balance Remaining]]&gt;0,"Partial","Paid in full"))</f>
        <v>Paid in full</v>
      </c>
    </row>
    <row r="47" spans="1:9" ht="30.75">
      <c r="A47" s="50">
        <v>46143</v>
      </c>
      <c r="B47" s="51" t="s">
        <v>43</v>
      </c>
      <c r="C47" s="22" t="s">
        <v>72</v>
      </c>
      <c r="D47" s="23">
        <v>475</v>
      </c>
      <c r="E47" s="23">
        <v>475</v>
      </c>
      <c r="F47" s="22" t="s">
        <v>70</v>
      </c>
      <c r="G47" s="23">
        <f>IF(D47="","",D47-E47)</f>
        <v>0</v>
      </c>
      <c r="H47" s="49"/>
      <c r="I47" s="23" t="str">
        <f>IF(RentCollectionsTable[[#This Row],[Amount due]]="","",IF(RentCollectionsTable[[#This Row],[Balance Remaining]]&gt;0,"Partial","Paid in full"))</f>
        <v>Paid in full</v>
      </c>
    </row>
    <row r="48" spans="1:9">
      <c r="A48" s="50">
        <v>46143</v>
      </c>
      <c r="B48" s="22" t="s">
        <v>46</v>
      </c>
      <c r="C48" s="22" t="s">
        <v>73</v>
      </c>
      <c r="D48" s="23">
        <v>900</v>
      </c>
      <c r="E48" s="23">
        <v>900</v>
      </c>
      <c r="F48" s="22" t="s">
        <v>70</v>
      </c>
      <c r="G48" s="23">
        <f>IF(D48="","",D48-E48)</f>
        <v>0</v>
      </c>
      <c r="H48" s="49"/>
      <c r="I48" s="23" t="str">
        <f>IF(RentCollectionsTable[[#This Row],[Amount due]]="","",IF(RentCollectionsTable[[#This Row],[Balance Remaining]]&gt;0,"Partial","Paid in full"))</f>
        <v>Paid in full</v>
      </c>
    </row>
    <row r="49" spans="1:9">
      <c r="A49" s="50">
        <v>46143</v>
      </c>
      <c r="B49" s="22" t="s">
        <v>47</v>
      </c>
      <c r="C49" s="22" t="s">
        <v>76</v>
      </c>
      <c r="D49" s="23">
        <v>800</v>
      </c>
      <c r="E49" s="23">
        <v>800</v>
      </c>
      <c r="F49" s="22" t="s">
        <v>70</v>
      </c>
      <c r="G49" s="23">
        <f>IF(D49="","",D49-E49)</f>
        <v>0</v>
      </c>
      <c r="H49" s="49"/>
      <c r="I49" s="23" t="str">
        <f>IF(RentCollectionsTable[[#This Row],[Amount due]]="","",IF(RentCollectionsTable[[#This Row],[Balance Remaining]]&gt;0,"Partial","Paid in full"))</f>
        <v>Paid in full</v>
      </c>
    </row>
    <row r="50" spans="1:9">
      <c r="A50" s="50">
        <v>46143</v>
      </c>
      <c r="B50" s="22" t="s">
        <v>49</v>
      </c>
      <c r="C50" s="22" t="s">
        <v>79</v>
      </c>
      <c r="D50" s="23">
        <v>850</v>
      </c>
      <c r="E50" s="23">
        <v>850</v>
      </c>
      <c r="F50" s="22" t="s">
        <v>70</v>
      </c>
      <c r="G50" s="23">
        <f>IF(D50="","",D50-E50)</f>
        <v>0</v>
      </c>
      <c r="H50" s="49"/>
      <c r="I50" s="23" t="str">
        <f>IF(RentCollectionsTable[[#This Row],[Amount due]]="","",IF(RentCollectionsTable[[#This Row],[Balance Remaining]]&gt;0,"Partial","Paid in full"))</f>
        <v>Paid in full</v>
      </c>
    </row>
    <row r="51" spans="1:9">
      <c r="A51" s="50">
        <v>46144</v>
      </c>
      <c r="B51" s="22" t="s">
        <v>51</v>
      </c>
      <c r="C51" s="22" t="s">
        <v>82</v>
      </c>
      <c r="D51" s="23">
        <v>850</v>
      </c>
      <c r="E51" s="23">
        <v>850</v>
      </c>
      <c r="F51" s="22" t="s">
        <v>70</v>
      </c>
      <c r="G51" s="23">
        <f>IF(D51="","",D51-E51)</f>
        <v>0</v>
      </c>
      <c r="H51" s="49"/>
      <c r="I51" s="23" t="str">
        <f>IF(RentCollectionsTable[[#This Row],[Amount due]]="","",IF(RentCollectionsTable[[#This Row],[Balance Remaining]]&gt;0,"Partial","Paid in full"))</f>
        <v>Paid in full</v>
      </c>
    </row>
    <row r="52" spans="1:9">
      <c r="A52" s="50">
        <v>46145</v>
      </c>
      <c r="B52" s="22" t="s">
        <v>45</v>
      </c>
      <c r="C52" s="22" t="s">
        <v>83</v>
      </c>
      <c r="D52" s="23">
        <v>900</v>
      </c>
      <c r="E52" s="23">
        <v>900</v>
      </c>
      <c r="F52" s="22" t="s">
        <v>70</v>
      </c>
      <c r="G52" s="23">
        <f>IF(D52="","",D52-E52)</f>
        <v>0</v>
      </c>
      <c r="H52" s="49"/>
      <c r="I52" s="23" t="str">
        <f>IF(RentCollectionsTable[[#This Row],[Amount due]]="","",IF(RentCollectionsTable[[#This Row],[Balance Remaining]]&gt;0,"Partial","Paid in full"))</f>
        <v>Paid in full</v>
      </c>
    </row>
    <row r="53" spans="1:9" ht="76.5">
      <c r="A53" s="50">
        <v>46147</v>
      </c>
      <c r="B53" s="22" t="s">
        <v>42</v>
      </c>
      <c r="C53" s="22" t="s">
        <v>75</v>
      </c>
      <c r="D53" s="23">
        <v>900</v>
      </c>
      <c r="E53" s="23">
        <v>900</v>
      </c>
      <c r="F53" s="22" t="s">
        <v>70</v>
      </c>
      <c r="G53" s="23">
        <f>IF(D53="","",D53-E53)</f>
        <v>0</v>
      </c>
      <c r="H53" s="52" t="s">
        <v>88</v>
      </c>
      <c r="I53" s="23" t="str">
        <f>IF(RentCollectionsTable[[#This Row],[Amount due]]="","",IF(RentCollectionsTable[[#This Row],[Balance Remaining]]&gt;0,"Partial","Paid in full"))</f>
        <v>Paid in full</v>
      </c>
    </row>
    <row r="54" spans="1:9">
      <c r="A54" s="50">
        <v>46147</v>
      </c>
      <c r="B54" s="22" t="s">
        <v>44</v>
      </c>
      <c r="C54" s="22" t="s">
        <v>81</v>
      </c>
      <c r="D54" s="23">
        <v>750</v>
      </c>
      <c r="E54" s="23">
        <v>750</v>
      </c>
      <c r="F54" s="22" t="s">
        <v>70</v>
      </c>
      <c r="G54" s="23">
        <f>IF(D54="","",D54-E54)</f>
        <v>0</v>
      </c>
      <c r="H54" s="49"/>
      <c r="I54" s="23" t="str">
        <f>IF(RentCollectionsTable[[#This Row],[Amount due]]="","",IF(RentCollectionsTable[[#This Row],[Balance Remaining]]&gt;0,"Partial","Paid in full"))</f>
        <v>Paid in full</v>
      </c>
    </row>
    <row r="55" spans="1:9">
      <c r="A55" s="50">
        <v>46147</v>
      </c>
      <c r="B55" s="22" t="s">
        <v>48</v>
      </c>
      <c r="C55" s="22" t="s">
        <v>78</v>
      </c>
      <c r="D55" s="23">
        <v>525</v>
      </c>
      <c r="E55" s="23">
        <v>525</v>
      </c>
      <c r="F55" s="22" t="s">
        <v>70</v>
      </c>
      <c r="G55" s="23">
        <f>IF(D55="","",D55-E55)</f>
        <v>0</v>
      </c>
      <c r="H55" s="49"/>
      <c r="I55" s="23" t="str">
        <f>IF(RentCollectionsTable[[#This Row],[Amount due]]="","",IF(RentCollectionsTable[[#This Row],[Balance Remaining]]&gt;0,"Partial","Paid in full"))</f>
        <v>Paid in full</v>
      </c>
    </row>
    <row r="56" spans="1:9" ht="76.5">
      <c r="A56" s="50">
        <v>46147</v>
      </c>
      <c r="B56" s="26" t="s">
        <v>50</v>
      </c>
      <c r="C56" s="26" t="s">
        <v>80</v>
      </c>
      <c r="D56" s="27">
        <v>525</v>
      </c>
      <c r="E56" s="27">
        <v>525</v>
      </c>
      <c r="F56" s="26" t="s">
        <v>70</v>
      </c>
      <c r="G56" s="27">
        <f>IF(D56="","",D56-E56)</f>
        <v>0</v>
      </c>
      <c r="H56" s="63" t="s">
        <v>89</v>
      </c>
      <c r="I56" s="27" t="str">
        <f>IF(RentCollectionsTable[[#This Row],[Amount due]]="","",IF(RentCollectionsTable[[#This Row],[Balance Remaining]]&gt;0,"Partial","Paid in full"))</f>
        <v>Paid in full</v>
      </c>
    </row>
    <row r="57" spans="1:9">
      <c r="A57" s="50">
        <v>46174</v>
      </c>
      <c r="B57" s="22" t="s">
        <v>41</v>
      </c>
      <c r="C57" s="22" t="s">
        <v>69</v>
      </c>
      <c r="D57" s="23">
        <v>800</v>
      </c>
      <c r="E57" s="23">
        <v>800</v>
      </c>
      <c r="F57" s="22" t="s">
        <v>70</v>
      </c>
      <c r="G57" s="23">
        <f>IF(D57="","",D57-E57)</f>
        <v>0</v>
      </c>
      <c r="H57" s="49"/>
      <c r="I57" s="23" t="str">
        <f>IF(RentCollectionsTable[[#This Row],[Amount due]]="","",IF(RentCollectionsTable[[#This Row],[Balance Remaining]]&gt;0,"Partial","Paid in full"))</f>
        <v>Paid in full</v>
      </c>
    </row>
    <row r="58" spans="1:9">
      <c r="A58" s="50">
        <v>46174</v>
      </c>
      <c r="B58" s="22" t="s">
        <v>42</v>
      </c>
      <c r="C58" s="22" t="s">
        <v>75</v>
      </c>
      <c r="D58" s="23">
        <v>900</v>
      </c>
      <c r="E58" s="23">
        <v>900</v>
      </c>
      <c r="F58" s="22" t="s">
        <v>70</v>
      </c>
      <c r="G58" s="23">
        <f>IF(D58="","",D58-E58)</f>
        <v>0</v>
      </c>
      <c r="H58" s="49"/>
      <c r="I58" s="23" t="str">
        <f>IF(RentCollectionsTable[[#This Row],[Amount due]]="","",IF(RentCollectionsTable[[#This Row],[Balance Remaining]]&gt;0,"Partial","Paid in full"))</f>
        <v>Paid in full</v>
      </c>
    </row>
    <row r="59" spans="1:9" ht="30.75">
      <c r="A59" s="50">
        <v>46174</v>
      </c>
      <c r="B59" s="51" t="s">
        <v>43</v>
      </c>
      <c r="C59" s="22" t="s">
        <v>72</v>
      </c>
      <c r="D59" s="23">
        <v>475</v>
      </c>
      <c r="E59" s="23">
        <v>475</v>
      </c>
      <c r="F59" s="22" t="s">
        <v>70</v>
      </c>
      <c r="G59" s="23">
        <f>IF(D59="","",D59-E59)</f>
        <v>0</v>
      </c>
      <c r="H59" s="49"/>
      <c r="I59" s="23" t="str">
        <f>IF(RentCollectionsTable[[#This Row],[Amount due]]="","",IF(RentCollectionsTable[[#This Row],[Balance Remaining]]&gt;0,"Partial","Paid in full"))</f>
        <v>Paid in full</v>
      </c>
    </row>
    <row r="60" spans="1:9">
      <c r="A60" s="50">
        <v>46174</v>
      </c>
      <c r="B60" s="22" t="s">
        <v>44</v>
      </c>
      <c r="C60" s="22" t="s">
        <v>81</v>
      </c>
      <c r="D60" s="23">
        <v>750</v>
      </c>
      <c r="E60" s="23">
        <v>750</v>
      </c>
      <c r="F60" s="22" t="s">
        <v>70</v>
      </c>
      <c r="G60" s="23">
        <f>IF(D60="","",D60-E60)</f>
        <v>0</v>
      </c>
      <c r="H60" s="49"/>
      <c r="I60" s="23" t="str">
        <f>IF(RentCollectionsTable[[#This Row],[Amount due]]="","",IF(RentCollectionsTable[[#This Row],[Balance Remaining]]&gt;0,"Partial","Paid in full"))</f>
        <v>Paid in full</v>
      </c>
    </row>
    <row r="61" spans="1:9">
      <c r="A61" s="50">
        <v>46174</v>
      </c>
      <c r="B61" s="22" t="s">
        <v>45</v>
      </c>
      <c r="C61" s="22" t="s">
        <v>83</v>
      </c>
      <c r="D61" s="23">
        <v>900</v>
      </c>
      <c r="E61" s="23">
        <v>900</v>
      </c>
      <c r="F61" s="22" t="s">
        <v>70</v>
      </c>
      <c r="G61" s="23">
        <f>IF(D61="","",D61-E61)</f>
        <v>0</v>
      </c>
      <c r="H61" s="49"/>
      <c r="I61" s="23" t="str">
        <f>IF(RentCollectionsTable[[#This Row],[Amount due]]="","",IF(RentCollectionsTable[[#This Row],[Balance Remaining]]&gt;0,"Partial","Paid in full"))</f>
        <v>Paid in full</v>
      </c>
    </row>
    <row r="62" spans="1:9">
      <c r="A62" s="50">
        <v>46174</v>
      </c>
      <c r="B62" s="22" t="s">
        <v>46</v>
      </c>
      <c r="C62" s="22" t="s">
        <v>73</v>
      </c>
      <c r="D62" s="23">
        <v>900</v>
      </c>
      <c r="E62" s="23">
        <v>900</v>
      </c>
      <c r="F62" s="22" t="s">
        <v>70</v>
      </c>
      <c r="G62" s="23">
        <f>IF(D62="","",D62-E62)</f>
        <v>0</v>
      </c>
      <c r="H62" s="49"/>
      <c r="I62" s="23" t="str">
        <f>IF(RentCollectionsTable[[#This Row],[Amount due]]="","",IF(RentCollectionsTable[[#This Row],[Balance Remaining]]&gt;0,"Partial","Paid in full"))</f>
        <v>Paid in full</v>
      </c>
    </row>
    <row r="63" spans="1:9" ht="45.75">
      <c r="A63" s="50">
        <v>46174</v>
      </c>
      <c r="B63" s="22" t="s">
        <v>47</v>
      </c>
      <c r="C63" s="22" t="s">
        <v>76</v>
      </c>
      <c r="D63" s="23">
        <v>800</v>
      </c>
      <c r="E63" s="23">
        <v>800</v>
      </c>
      <c r="F63" s="22" t="s">
        <v>70</v>
      </c>
      <c r="G63" s="23">
        <f>IF(D63="","",D63-E63)</f>
        <v>0</v>
      </c>
      <c r="H63" s="52" t="s">
        <v>90</v>
      </c>
      <c r="I63" s="23" t="str">
        <f>IF(RentCollectionsTable[[#This Row],[Amount due]]="","",IF(RentCollectionsTable[[#This Row],[Balance Remaining]]&gt;0,"Partial","Paid in full"))</f>
        <v>Paid in full</v>
      </c>
    </row>
    <row r="64" spans="1:9">
      <c r="A64" s="50">
        <v>46174</v>
      </c>
      <c r="B64" s="22" t="s">
        <v>48</v>
      </c>
      <c r="C64" s="22" t="s">
        <v>78</v>
      </c>
      <c r="D64" s="23">
        <v>525</v>
      </c>
      <c r="E64" s="23">
        <v>525</v>
      </c>
      <c r="F64" s="22" t="s">
        <v>70</v>
      </c>
      <c r="G64" s="23">
        <f>IF(D64="","",D64-E64)</f>
        <v>0</v>
      </c>
      <c r="H64" s="49"/>
      <c r="I64" s="23" t="str">
        <f>IF(RentCollectionsTable[[#This Row],[Amount due]]="","",IF(RentCollectionsTable[[#This Row],[Balance Remaining]]&gt;0,"Partial","Paid in full"))</f>
        <v>Paid in full</v>
      </c>
    </row>
    <row r="65" spans="1:9">
      <c r="A65" s="50">
        <v>46174</v>
      </c>
      <c r="B65" s="22" t="s">
        <v>49</v>
      </c>
      <c r="C65" s="22" t="s">
        <v>79</v>
      </c>
      <c r="D65" s="23">
        <v>850</v>
      </c>
      <c r="E65" s="23">
        <v>850</v>
      </c>
      <c r="F65" s="22" t="s">
        <v>70</v>
      </c>
      <c r="G65" s="23">
        <f>IF(D65="","",D65-E65)</f>
        <v>0</v>
      </c>
      <c r="H65" s="49"/>
      <c r="I65" s="23" t="str">
        <f>IF(RentCollectionsTable[[#This Row],[Amount due]]="","",IF(RentCollectionsTable[[#This Row],[Balance Remaining]]&gt;0,"Partial","Paid in full"))</f>
        <v>Paid in full</v>
      </c>
    </row>
    <row r="66" spans="1:9">
      <c r="A66" s="50">
        <v>46174</v>
      </c>
      <c r="B66" s="22" t="s">
        <v>51</v>
      </c>
      <c r="C66" s="22" t="s">
        <v>82</v>
      </c>
      <c r="D66" s="23">
        <v>850</v>
      </c>
      <c r="E66" s="23">
        <v>850</v>
      </c>
      <c r="F66" s="22" t="s">
        <v>70</v>
      </c>
      <c r="G66" s="23">
        <f>IF(D66="","",D66-E66)</f>
        <v>0</v>
      </c>
      <c r="H66" s="49"/>
      <c r="I66" s="23" t="str">
        <f>IF(RentCollectionsTable[[#This Row],[Amount due]]="","",IF(RentCollectionsTable[[#This Row],[Balance Remaining]]&gt;0,"Partial","Paid in full"))</f>
        <v>Paid in full</v>
      </c>
    </row>
    <row r="67" spans="1:9">
      <c r="A67" s="50">
        <v>46174</v>
      </c>
      <c r="B67" s="26" t="s">
        <v>50</v>
      </c>
      <c r="C67" s="26" t="s">
        <v>80</v>
      </c>
      <c r="D67" s="27">
        <v>525</v>
      </c>
      <c r="E67" s="23">
        <v>525</v>
      </c>
      <c r="F67" s="26" t="s">
        <v>70</v>
      </c>
      <c r="G67" s="27">
        <f>IF(D67="","",D67-E67)</f>
        <v>0</v>
      </c>
      <c r="H67" s="31"/>
      <c r="I67" s="27" t="str">
        <f>IF(RentCollectionsTable[[#This Row],[Amount due]]="","",IF(RentCollectionsTable[[#This Row],[Balance Remaining]]&gt;0,"Partial","Paid in full"))</f>
        <v>Paid in full</v>
      </c>
    </row>
  </sheetData>
  <conditionalFormatting sqref="I2:I1048576">
    <cfRule type="containsText" dxfId="32" priority="2" operator="containsText" text="Partial">
      <formula>NOT(ISERROR(SEARCH("Partial",I2)))</formula>
    </cfRule>
  </conditionalFormatting>
  <conditionalFormatting sqref="I2:I1048576">
    <cfRule type="containsText" dxfId="31" priority="1" operator="containsText" text="Paid in full">
      <formula>NOT(ISERROR(SEARCH("Paid in full",I2)))</formula>
    </cfRule>
  </conditionalFormatting>
  <dataValidations count="2">
    <dataValidation type="list" allowBlank="1" showInputMessage="1" showErrorMessage="1" sqref="B2:B1048576" xr:uid="{56161663-5EAE-456C-B5B5-C74F60400C52}">
      <formula1>PropertyList</formula1>
    </dataValidation>
    <dataValidation type="list" allowBlank="1" showInputMessage="1" showErrorMessage="1" sqref="F2:F1048576" xr:uid="{6FE252D8-FE1A-4CC1-A423-C56D07D7C998}">
      <formula1>"Cash,Money order,Check,Venmo,Zelle,Cashapp,Other"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0613-1F4B-4A0E-850E-DCAECB5C261D}">
  <dimension ref="A1:P20"/>
  <sheetViews>
    <sheetView workbookViewId="0">
      <pane xSplit="2" ySplit="1" topLeftCell="F2" activePane="bottomRight" state="frozen"/>
      <selection pane="bottomRight" activeCell="C2" sqref="C2"/>
      <selection pane="bottomLeft"/>
      <selection pane="topRight"/>
    </sheetView>
  </sheetViews>
  <sheetFormatPr defaultRowHeight="15"/>
  <cols>
    <col min="1" max="1" width="17.28515625" style="19" customWidth="1"/>
    <col min="2" max="2" width="21.7109375" customWidth="1"/>
    <col min="3" max="3" width="19" customWidth="1"/>
    <col min="4" max="4" width="13.85546875" customWidth="1"/>
    <col min="5" max="5" width="13.28515625" style="20" customWidth="1"/>
    <col min="6" max="6" width="36.5703125" bestFit="1" customWidth="1"/>
    <col min="7" max="7" width="20.7109375" customWidth="1"/>
    <col min="8" max="9" width="17.28515625" style="19" customWidth="1"/>
  </cols>
  <sheetData>
    <row r="1" spans="1:16">
      <c r="A1" s="19" t="s">
        <v>61</v>
      </c>
      <c r="B1" t="s">
        <v>2</v>
      </c>
      <c r="C1" t="s">
        <v>91</v>
      </c>
      <c r="D1" t="s">
        <v>92</v>
      </c>
      <c r="E1" t="s">
        <v>93</v>
      </c>
      <c r="F1" t="s">
        <v>94</v>
      </c>
      <c r="G1" t="s">
        <v>67</v>
      </c>
      <c r="H1" s="19" t="s">
        <v>95</v>
      </c>
      <c r="I1" s="19" t="s">
        <v>96</v>
      </c>
    </row>
    <row r="2" spans="1:16">
      <c r="A2" s="21">
        <v>46023</v>
      </c>
      <c r="B2" s="22" t="s">
        <v>49</v>
      </c>
      <c r="C2" s="22" t="s">
        <v>97</v>
      </c>
      <c r="D2" s="22" t="s">
        <v>98</v>
      </c>
      <c r="E2" s="23">
        <v>38.950000000000003</v>
      </c>
      <c r="F2" s="22" t="s">
        <v>99</v>
      </c>
      <c r="G2" s="22"/>
      <c r="H2" s="21" t="str">
        <f>TEXT(A2,"MM-MMM")</f>
        <v>01-Jan</v>
      </c>
      <c r="I2" s="21" t="str">
        <f>TEXT(A2,"YYYY")</f>
        <v>2026</v>
      </c>
    </row>
    <row r="3" spans="1:16" ht="15.75" customHeight="1">
      <c r="A3" s="25">
        <v>46028</v>
      </c>
      <c r="B3" s="22" t="s">
        <v>54</v>
      </c>
      <c r="C3" s="26" t="s">
        <v>100</v>
      </c>
      <c r="D3" s="22" t="s">
        <v>101</v>
      </c>
      <c r="E3" s="27">
        <v>-165.83</v>
      </c>
      <c r="F3" s="26" t="s">
        <v>102</v>
      </c>
      <c r="G3" s="26"/>
      <c r="H3" s="25" t="str">
        <f>TEXT(A3,"MM-MMM")</f>
        <v>01-Jan</v>
      </c>
      <c r="I3" s="21" t="str">
        <f>TEXT(A3,"YYYY")</f>
        <v>2026</v>
      </c>
      <c r="P3" s="1"/>
    </row>
    <row r="4" spans="1:16">
      <c r="A4" s="25">
        <v>46035</v>
      </c>
      <c r="B4" s="22" t="s">
        <v>41</v>
      </c>
      <c r="C4" s="26" t="s">
        <v>103</v>
      </c>
      <c r="D4" s="22" t="s">
        <v>101</v>
      </c>
      <c r="E4" s="27">
        <v>7.64</v>
      </c>
      <c r="F4" s="26" t="s">
        <v>104</v>
      </c>
      <c r="G4" s="26"/>
      <c r="H4" s="25" t="str">
        <f>TEXT(A4,"MM-MMM")</f>
        <v>01-Jan</v>
      </c>
      <c r="I4" s="21" t="str">
        <f>TEXT(A4,"YYYY")</f>
        <v>2026</v>
      </c>
    </row>
    <row r="5" spans="1:16">
      <c r="A5" s="21">
        <v>46035</v>
      </c>
      <c r="B5" s="22" t="s">
        <v>41</v>
      </c>
      <c r="C5" s="22" t="s">
        <v>103</v>
      </c>
      <c r="D5" s="22" t="s">
        <v>101</v>
      </c>
      <c r="E5" s="23">
        <v>6.55</v>
      </c>
      <c r="F5" s="22" t="s">
        <v>105</v>
      </c>
      <c r="G5" s="26"/>
      <c r="H5" s="25" t="str">
        <f>TEXT(A5,"MM-MMM")</f>
        <v>01-Jan</v>
      </c>
      <c r="I5" s="25" t="str">
        <f>TEXT(A5,"YYYY")</f>
        <v>2026</v>
      </c>
    </row>
    <row r="6" spans="1:16">
      <c r="A6" s="25">
        <v>46037</v>
      </c>
      <c r="B6" s="26" t="s">
        <v>47</v>
      </c>
      <c r="C6" s="26" t="s">
        <v>103</v>
      </c>
      <c r="D6" s="51" t="s">
        <v>98</v>
      </c>
      <c r="E6" s="27">
        <v>19.57</v>
      </c>
      <c r="F6" s="22" t="s">
        <v>106</v>
      </c>
      <c r="G6" s="26"/>
      <c r="H6" s="25" t="str">
        <f>TEXT(A6,"MM-MMM")</f>
        <v>01-Jan</v>
      </c>
      <c r="I6" s="21" t="str">
        <f>TEXT(A6,"YYYY")</f>
        <v>2026</v>
      </c>
    </row>
    <row r="7" spans="1:16">
      <c r="A7" s="25">
        <v>46045</v>
      </c>
      <c r="B7" s="26" t="s">
        <v>54</v>
      </c>
      <c r="C7" s="26" t="s">
        <v>100</v>
      </c>
      <c r="D7" s="22" t="s">
        <v>101</v>
      </c>
      <c r="E7" s="27">
        <v>-24.99</v>
      </c>
      <c r="F7" s="26" t="s">
        <v>102</v>
      </c>
      <c r="G7" s="26"/>
      <c r="H7" s="25" t="str">
        <f>TEXT(A7,"MM-MMM")</f>
        <v>01-Jan</v>
      </c>
      <c r="I7" s="25" t="str">
        <f>TEXT(A7,"YYYY")</f>
        <v>2026</v>
      </c>
    </row>
    <row r="8" spans="1:16" ht="30.75">
      <c r="A8" s="25">
        <v>46056</v>
      </c>
      <c r="B8" s="26" t="s">
        <v>49</v>
      </c>
      <c r="C8" s="26" t="s">
        <v>103</v>
      </c>
      <c r="D8" s="22" t="s">
        <v>101</v>
      </c>
      <c r="E8" s="27">
        <v>54.71</v>
      </c>
      <c r="F8" s="26" t="s">
        <v>107</v>
      </c>
      <c r="G8" s="34" t="s">
        <v>108</v>
      </c>
      <c r="H8" s="25" t="str">
        <f>TEXT(A8,"MM-MMM")</f>
        <v>02-Feb</v>
      </c>
      <c r="I8" s="25" t="str">
        <f>TEXT(A8,"YYYY")</f>
        <v>2026</v>
      </c>
    </row>
    <row r="9" spans="1:16" ht="30.75">
      <c r="A9" s="25">
        <v>46058</v>
      </c>
      <c r="B9" s="26" t="s">
        <v>41</v>
      </c>
      <c r="C9" s="26" t="s">
        <v>103</v>
      </c>
      <c r="D9" s="22" t="s">
        <v>101</v>
      </c>
      <c r="E9" s="27">
        <v>361.79</v>
      </c>
      <c r="F9" s="26" t="s">
        <v>109</v>
      </c>
      <c r="G9" s="34" t="s">
        <v>110</v>
      </c>
      <c r="H9" s="25" t="str">
        <f>TEXT(A9,"MM-MMM")</f>
        <v>02-Feb</v>
      </c>
      <c r="I9" s="25" t="str">
        <f>TEXT(A9,"YYYY")</f>
        <v>2026</v>
      </c>
    </row>
    <row r="10" spans="1:16" ht="30.75">
      <c r="A10" s="25">
        <v>46066</v>
      </c>
      <c r="B10" s="26" t="s">
        <v>49</v>
      </c>
      <c r="C10" s="34" t="s">
        <v>111</v>
      </c>
      <c r="D10" s="22" t="s">
        <v>101</v>
      </c>
      <c r="E10" s="27">
        <v>785.63</v>
      </c>
      <c r="F10" s="34" t="s">
        <v>112</v>
      </c>
      <c r="G10" s="34" t="s">
        <v>113</v>
      </c>
      <c r="H10" s="25" t="str">
        <f>TEXT(A10,"MM-MMM")</f>
        <v>02-Feb</v>
      </c>
      <c r="I10" s="25" t="str">
        <f>TEXT(A10,"YYYY")</f>
        <v>2026</v>
      </c>
    </row>
    <row r="11" spans="1:16">
      <c r="A11" s="25">
        <v>46093</v>
      </c>
      <c r="B11" s="26" t="s">
        <v>44</v>
      </c>
      <c r="C11" s="26" t="s">
        <v>103</v>
      </c>
      <c r="D11" s="22" t="s">
        <v>101</v>
      </c>
      <c r="E11" s="27">
        <v>47.57</v>
      </c>
      <c r="F11" s="26" t="s">
        <v>114</v>
      </c>
      <c r="G11" s="26" t="s">
        <v>115</v>
      </c>
      <c r="H11" s="25" t="str">
        <f>TEXT(A11,"MM-MMM")</f>
        <v>03-Mar</v>
      </c>
      <c r="I11" s="25" t="str">
        <f>TEXT(A11,"YYYY")</f>
        <v>2026</v>
      </c>
    </row>
    <row r="12" spans="1:16">
      <c r="A12" s="25">
        <v>46100</v>
      </c>
      <c r="B12" s="26" t="s">
        <v>44</v>
      </c>
      <c r="C12" s="26" t="s">
        <v>103</v>
      </c>
      <c r="D12" s="22" t="s">
        <v>101</v>
      </c>
      <c r="E12" s="27">
        <v>47.02</v>
      </c>
      <c r="F12" s="22" t="s">
        <v>116</v>
      </c>
      <c r="G12" s="26" t="s">
        <v>115</v>
      </c>
      <c r="H12" s="25" t="str">
        <f>TEXT(A12,"MM-MMM")</f>
        <v>03-Mar</v>
      </c>
      <c r="I12" s="25" t="str">
        <f>TEXT(A12,"YYYY")</f>
        <v>2026</v>
      </c>
    </row>
    <row r="13" spans="1:16">
      <c r="A13" s="21">
        <v>46100</v>
      </c>
      <c r="B13" s="22" t="s">
        <v>54</v>
      </c>
      <c r="C13" s="22" t="s">
        <v>100</v>
      </c>
      <c r="D13" s="22" t="s">
        <v>101</v>
      </c>
      <c r="E13" s="23">
        <v>-494.7</v>
      </c>
      <c r="F13" s="22" t="s">
        <v>102</v>
      </c>
      <c r="G13" s="26"/>
      <c r="H13" s="25" t="str">
        <f>TEXT(A13,"MM-MMM")</f>
        <v>03-Mar</v>
      </c>
      <c r="I13" s="25" t="str">
        <f>TEXT(A13,"YYYY")</f>
        <v>2026</v>
      </c>
    </row>
    <row r="14" spans="1:16">
      <c r="A14" s="25">
        <v>46105</v>
      </c>
      <c r="B14" s="22" t="s">
        <v>46</v>
      </c>
      <c r="C14" s="26" t="s">
        <v>103</v>
      </c>
      <c r="D14" s="22" t="s">
        <v>117</v>
      </c>
      <c r="E14" s="27">
        <v>286.57</v>
      </c>
      <c r="F14" s="26" t="s">
        <v>118</v>
      </c>
      <c r="G14" s="34" t="s">
        <v>119</v>
      </c>
      <c r="H14" s="25" t="str">
        <f>TEXT(A14,"MM-MMM")</f>
        <v>03-Mar</v>
      </c>
      <c r="I14" s="25" t="str">
        <f>TEXT(A14,"YYYY")</f>
        <v>2026</v>
      </c>
    </row>
    <row r="15" spans="1:16">
      <c r="A15" s="25">
        <v>46106</v>
      </c>
      <c r="B15" s="22" t="s">
        <v>46</v>
      </c>
      <c r="C15" s="26" t="s">
        <v>103</v>
      </c>
      <c r="D15" s="22" t="s">
        <v>101</v>
      </c>
      <c r="E15" s="27">
        <v>59.62</v>
      </c>
      <c r="F15" s="26" t="s">
        <v>120</v>
      </c>
      <c r="G15" s="26"/>
      <c r="H15" s="25" t="str">
        <f>TEXT(A15,"MM-MMM")</f>
        <v>03-Mar</v>
      </c>
      <c r="I15" s="25" t="str">
        <f>TEXT(A15,"YYYY")</f>
        <v>2026</v>
      </c>
    </row>
    <row r="16" spans="1:16">
      <c r="A16" s="25">
        <v>46107</v>
      </c>
      <c r="B16" s="22" t="s">
        <v>46</v>
      </c>
      <c r="C16" s="26" t="s">
        <v>103</v>
      </c>
      <c r="D16" s="22" t="s">
        <v>101</v>
      </c>
      <c r="E16" s="27">
        <v>18.29</v>
      </c>
      <c r="F16" s="26" t="s">
        <v>121</v>
      </c>
      <c r="G16" s="26"/>
      <c r="H16" s="25" t="str">
        <f>TEXT(A16,"MM-MMM")</f>
        <v>03-Mar</v>
      </c>
      <c r="I16" s="25" t="str">
        <f>TEXT(A16,"YYYY")</f>
        <v>2026</v>
      </c>
    </row>
    <row r="17" spans="1:9">
      <c r="A17" s="25">
        <v>46118</v>
      </c>
      <c r="B17" s="26" t="s">
        <v>46</v>
      </c>
      <c r="C17" s="26" t="s">
        <v>103</v>
      </c>
      <c r="D17" s="26" t="s">
        <v>101</v>
      </c>
      <c r="E17" s="27">
        <v>50.26</v>
      </c>
      <c r="F17" s="26" t="s">
        <v>122</v>
      </c>
      <c r="G17" s="26"/>
      <c r="H17" s="25" t="str">
        <f>TEXT(A17,"MM-MMM")</f>
        <v>04-Apr</v>
      </c>
      <c r="I17" s="25" t="str">
        <f>TEXT(A17,"YYYY")</f>
        <v>2026</v>
      </c>
    </row>
    <row r="18" spans="1:9" ht="30.75">
      <c r="A18" s="25">
        <v>46155</v>
      </c>
      <c r="B18" s="26" t="s">
        <v>45</v>
      </c>
      <c r="C18" s="26" t="s">
        <v>103</v>
      </c>
      <c r="D18" s="34" t="s">
        <v>123</v>
      </c>
      <c r="E18" s="27">
        <v>3000</v>
      </c>
      <c r="F18" s="34" t="s">
        <v>124</v>
      </c>
      <c r="G18" s="26"/>
      <c r="H18" s="25" t="str">
        <f>TEXT(A18,"MM-MMM")</f>
        <v>05-May</v>
      </c>
      <c r="I18" s="25" t="str">
        <f>TEXT(A18,"YYYY")</f>
        <v>2026</v>
      </c>
    </row>
    <row r="19" spans="1:9">
      <c r="A19" s="25">
        <v>46157</v>
      </c>
      <c r="B19" s="26" t="s">
        <v>45</v>
      </c>
      <c r="C19" s="26" t="s">
        <v>103</v>
      </c>
      <c r="D19" s="26" t="s">
        <v>125</v>
      </c>
      <c r="E19" s="27">
        <v>-2811.15</v>
      </c>
      <c r="F19" s="26" t="s">
        <v>126</v>
      </c>
      <c r="G19" s="26" t="s">
        <v>127</v>
      </c>
      <c r="H19" s="25" t="str">
        <f>TEXT(A19,"MM-MMM")</f>
        <v>05-May</v>
      </c>
      <c r="I19" s="25" t="str">
        <f>TEXT(A19,"YYYY")</f>
        <v>2026</v>
      </c>
    </row>
    <row r="20" spans="1:9">
      <c r="A20" s="25"/>
      <c r="B20" s="26"/>
      <c r="C20" s="26"/>
      <c r="D20" s="26"/>
      <c r="E20" s="27"/>
      <c r="F20" s="26"/>
      <c r="G20" s="26"/>
      <c r="H20" s="25"/>
      <c r="I20" s="25"/>
    </row>
  </sheetData>
  <dataValidations count="2">
    <dataValidation type="list" allowBlank="1" showInputMessage="1" showErrorMessage="1" sqref="C2:C1048576" xr:uid="{BEFBBC2F-4F89-4C56-A878-F52245DDDCAC}">
      <formula1>"Maintenance,Repair,Insurance,Property tax,Legal,Utilities,Capital Improvement,Miscellaneous"</formula1>
    </dataValidation>
    <dataValidation type="list" allowBlank="1" showInputMessage="1" showErrorMessage="1" sqref="B2:B1048576" xr:uid="{4871FE78-F8B8-4F2A-9A93-1069A46D6E7F}">
      <formula1>PropertyList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7D10-F524-4672-9272-B9F9D4517D5A}">
  <dimension ref="A1:H21"/>
  <sheetViews>
    <sheetView workbookViewId="0">
      <selection activeCell="A14" sqref="A14"/>
    </sheetView>
  </sheetViews>
  <sheetFormatPr defaultRowHeight="15"/>
  <cols>
    <col min="1" max="1" width="34.28515625" bestFit="1" customWidth="1"/>
    <col min="2" max="2" width="14.85546875" bestFit="1" customWidth="1"/>
    <col min="3" max="4" width="10" bestFit="1" customWidth="1"/>
    <col min="5" max="5" width="9.140625" bestFit="1" customWidth="1"/>
    <col min="6" max="6" width="7.28515625" bestFit="1" customWidth="1"/>
    <col min="7" max="7" width="8.42578125" bestFit="1" customWidth="1"/>
    <col min="8" max="8" width="11.42578125" bestFit="1" customWidth="1"/>
    <col min="9" max="9" width="11.42578125" customWidth="1"/>
    <col min="10" max="10" width="19.28515625" bestFit="1" customWidth="1"/>
    <col min="11" max="11" width="14.85546875" bestFit="1" customWidth="1"/>
  </cols>
  <sheetData>
    <row r="1" spans="1:8" ht="18.75">
      <c r="A1" s="9" t="s">
        <v>128</v>
      </c>
    </row>
    <row r="3" spans="1:8">
      <c r="A3" s="48" t="s">
        <v>91</v>
      </c>
      <c r="B3" s="22" t="s">
        <v>129</v>
      </c>
    </row>
    <row r="4" spans="1:8">
      <c r="A4" s="22" t="s">
        <v>111</v>
      </c>
      <c r="B4" s="66">
        <v>785.63</v>
      </c>
    </row>
    <row r="5" spans="1:8">
      <c r="A5" s="22" t="s">
        <v>97</v>
      </c>
      <c r="B5" s="66">
        <v>38.950000000000003</v>
      </c>
    </row>
    <row r="6" spans="1:8">
      <c r="A6" s="22" t="s">
        <v>100</v>
      </c>
      <c r="B6" s="66">
        <v>-685.52</v>
      </c>
    </row>
    <row r="7" spans="1:8">
      <c r="A7" s="22" t="s">
        <v>103</v>
      </c>
      <c r="B7" s="66">
        <v>1148.44</v>
      </c>
    </row>
    <row r="8" spans="1:8">
      <c r="A8" s="22" t="s">
        <v>130</v>
      </c>
      <c r="B8" s="66">
        <v>1287.5</v>
      </c>
    </row>
    <row r="10" spans="1:8" ht="18.75">
      <c r="A10" s="9" t="s">
        <v>131</v>
      </c>
    </row>
    <row r="11" spans="1:8">
      <c r="A11" s="64"/>
      <c r="B11" s="64"/>
      <c r="C11" s="64"/>
      <c r="D11" s="64"/>
      <c r="E11" s="64"/>
      <c r="F11" s="64"/>
      <c r="G11" s="64"/>
      <c r="H11" s="64"/>
    </row>
    <row r="12" spans="1:8">
      <c r="A12" s="47" t="s">
        <v>129</v>
      </c>
      <c r="C12" s="47" t="s">
        <v>95</v>
      </c>
    </row>
    <row r="13" spans="1:8">
      <c r="A13" s="48" t="s">
        <v>2</v>
      </c>
      <c r="B13" s="48" t="s">
        <v>91</v>
      </c>
      <c r="C13" s="22" t="s">
        <v>132</v>
      </c>
      <c r="D13" s="22" t="s">
        <v>133</v>
      </c>
      <c r="E13" s="22" t="s">
        <v>134</v>
      </c>
      <c r="F13" s="22" t="s">
        <v>135</v>
      </c>
      <c r="G13" s="22" t="s">
        <v>136</v>
      </c>
      <c r="H13" s="22" t="s">
        <v>130</v>
      </c>
    </row>
    <row r="14" spans="1:8">
      <c r="A14" s="22" t="s">
        <v>49</v>
      </c>
      <c r="C14" s="66">
        <v>38.950000000000003</v>
      </c>
      <c r="D14" s="66">
        <v>840.34</v>
      </c>
      <c r="E14" s="66"/>
      <c r="F14" s="66"/>
      <c r="G14" s="66"/>
      <c r="H14" s="66">
        <v>879.29000000000008</v>
      </c>
    </row>
    <row r="15" spans="1:8">
      <c r="A15" s="22" t="s">
        <v>46</v>
      </c>
      <c r="C15" s="66"/>
      <c r="D15" s="66"/>
      <c r="E15" s="66">
        <v>364.48</v>
      </c>
      <c r="F15" s="66">
        <v>50.26</v>
      </c>
      <c r="G15" s="66"/>
      <c r="H15" s="66">
        <v>414.74</v>
      </c>
    </row>
    <row r="16" spans="1:8">
      <c r="A16" s="22" t="s">
        <v>44</v>
      </c>
      <c r="C16" s="66"/>
      <c r="D16" s="66"/>
      <c r="E16" s="66">
        <v>94.59</v>
      </c>
      <c r="F16" s="66"/>
      <c r="G16" s="66"/>
      <c r="H16" s="66">
        <v>94.59</v>
      </c>
    </row>
    <row r="17" spans="1:8">
      <c r="A17" s="22" t="s">
        <v>41</v>
      </c>
      <c r="C17" s="66">
        <v>14.19</v>
      </c>
      <c r="D17" s="66">
        <v>361.79</v>
      </c>
      <c r="E17" s="66"/>
      <c r="F17" s="66"/>
      <c r="G17" s="66"/>
      <c r="H17" s="66">
        <v>375.98</v>
      </c>
    </row>
    <row r="18" spans="1:8">
      <c r="A18" s="22" t="s">
        <v>47</v>
      </c>
      <c r="C18" s="66">
        <v>19.57</v>
      </c>
      <c r="D18" s="66"/>
      <c r="E18" s="66"/>
      <c r="F18" s="66"/>
      <c r="G18" s="66"/>
      <c r="H18" s="66">
        <v>19.57</v>
      </c>
    </row>
    <row r="19" spans="1:8">
      <c r="A19" s="22" t="s">
        <v>45</v>
      </c>
      <c r="C19" s="66"/>
      <c r="D19" s="66"/>
      <c r="E19" s="66"/>
      <c r="F19" s="66"/>
      <c r="G19" s="66">
        <v>188.84999999999991</v>
      </c>
      <c r="H19" s="66">
        <v>188.84999999999991</v>
      </c>
    </row>
    <row r="20" spans="1:8">
      <c r="A20" s="22" t="s">
        <v>54</v>
      </c>
      <c r="C20" s="66">
        <v>-190.82000000000002</v>
      </c>
      <c r="D20" s="66"/>
      <c r="E20" s="66">
        <v>-494.7</v>
      </c>
      <c r="F20" s="66"/>
      <c r="G20" s="66"/>
      <c r="H20" s="66">
        <v>-685.52</v>
      </c>
    </row>
    <row r="21" spans="1:8">
      <c r="A21" s="22" t="s">
        <v>130</v>
      </c>
      <c r="B21" s="22"/>
      <c r="C21" s="66">
        <v>-118.11000000000001</v>
      </c>
      <c r="D21" s="66">
        <v>1202.1300000000001</v>
      </c>
      <c r="E21" s="66">
        <v>-35.629999999999939</v>
      </c>
      <c r="F21" s="66">
        <v>50.26</v>
      </c>
      <c r="G21" s="66">
        <v>188.84999999999991</v>
      </c>
      <c r="H21" s="66">
        <v>1287.5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2026-05-09T06:14:02Z</dcterms:created>
  <dcterms:modified xsi:type="dcterms:W3CDTF">2026-06-24T18:56:36Z</dcterms:modified>
  <cp:category/>
  <cp:contentStatus/>
</cp:coreProperties>
</file>